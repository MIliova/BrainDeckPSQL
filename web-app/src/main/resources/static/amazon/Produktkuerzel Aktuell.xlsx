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/>
  <mc:AlternateContent xmlns:mc="http://schemas.openxmlformats.org/markup-compatibility/2006">
    <mc:Choice Requires="x15">
      <x15ac:absPath xmlns:x15ac="http://schemas.microsoft.com/office/spreadsheetml/2010/11/ac" url="Y:\0-PfS\Produktdaten\"/>
    </mc:Choice>
  </mc:AlternateContent>
  <xr:revisionPtr revIDLastSave="0" documentId="13_ncr:1_{26E9BCB9-63D8-4635-85BF-DCF3C0EBBA6F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Produktmaße+Kürzel" sheetId="1" r:id="rId1"/>
    <sheet name="Produktmaße+Kürzel-alt" sheetId="2" r:id="rId2"/>
    <sheet name="Kartons" sheetId="3" r:id="rId3"/>
    <sheet name="Kartons (2)" sheetId="4" r:id="rId4"/>
    <sheet name="Tabelle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74" i="2" l="1"/>
  <c r="Y73" i="2"/>
  <c r="Y71" i="2"/>
  <c r="Y70" i="2"/>
  <c r="Y68" i="2"/>
  <c r="Y65" i="2"/>
  <c r="G65" i="2"/>
  <c r="Y64" i="2"/>
  <c r="G64" i="2"/>
  <c r="Y63" i="2"/>
  <c r="Y62" i="2"/>
  <c r="Y61" i="2"/>
  <c r="Y60" i="2"/>
  <c r="Y59" i="2"/>
  <c r="Y57" i="2"/>
  <c r="Y56" i="2"/>
  <c r="Y55" i="2"/>
  <c r="Y54" i="2"/>
  <c r="Y39" i="2"/>
  <c r="Y38" i="2"/>
  <c r="Y34" i="2"/>
  <c r="Y33" i="2"/>
  <c r="Y32" i="2"/>
  <c r="Y31" i="2"/>
  <c r="Y30" i="2"/>
  <c r="Y29" i="2"/>
  <c r="AB28" i="2"/>
  <c r="Y27" i="2"/>
  <c r="Y26" i="2"/>
  <c r="Y25" i="2"/>
  <c r="Y24" i="2"/>
  <c r="Y23" i="2"/>
  <c r="Y22" i="2"/>
  <c r="Y21" i="2"/>
  <c r="Y20" i="2"/>
  <c r="Y19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3" i="2"/>
</calcChain>
</file>

<file path=xl/sharedStrings.xml><?xml version="1.0" encoding="utf-8"?>
<sst xmlns="http://schemas.openxmlformats.org/spreadsheetml/2006/main" count="1705" uniqueCount="825">
  <si>
    <t>Einstreu</t>
  </si>
  <si>
    <t>Artikelnummer</t>
  </si>
  <si>
    <t>Produktname</t>
  </si>
  <si>
    <t>Produktmaße in cm</t>
  </si>
  <si>
    <t>EH pro     hL-Palette</t>
  </si>
  <si>
    <t>EH pro Sped-Pal.</t>
  </si>
  <si>
    <t>Produkt- Kürzel</t>
  </si>
  <si>
    <t>Art,.-Nr. für Karton</t>
  </si>
  <si>
    <t>Hersteller/Lieferant</t>
  </si>
  <si>
    <t>EK  ab Werk</t>
  </si>
  <si>
    <t>Vorfracht</t>
  </si>
  <si>
    <t>01.10002/SM</t>
  </si>
  <si>
    <t>AGH Sägemehl 18 kg</t>
  </si>
  <si>
    <t>75x40x20</t>
  </si>
  <si>
    <t>SM</t>
  </si>
  <si>
    <t>05.1000/250</t>
  </si>
  <si>
    <t>Allspan German Horse</t>
  </si>
  <si>
    <t>01.10005/3,6</t>
  </si>
  <si>
    <t>ALLSPAN for Pets 3,6 kg</t>
  </si>
  <si>
    <t>Pet3,6</t>
  </si>
  <si>
    <t>01.10007/A26</t>
  </si>
  <si>
    <t>AGH Exquisit 26 kg</t>
  </si>
  <si>
    <t>78x33x48</t>
  </si>
  <si>
    <t>A26</t>
  </si>
  <si>
    <t>05.1000/400</t>
  </si>
  <si>
    <t>01.10008/19</t>
  </si>
  <si>
    <t>AGH Classic 19 kg</t>
  </si>
  <si>
    <t>78x29x28</t>
  </si>
  <si>
    <t>A19c</t>
  </si>
  <si>
    <t>05.1000/310</t>
  </si>
  <si>
    <t>01.10008/19ex</t>
  </si>
  <si>
    <t>AGH Exquisit 19 kg</t>
  </si>
  <si>
    <t>A19ex</t>
  </si>
  <si>
    <t>01.10008/A24</t>
  </si>
  <si>
    <t xml:space="preserve">AGH Classic 24 kg </t>
  </si>
  <si>
    <t>A24</t>
  </si>
  <si>
    <t>01.10009/BA</t>
  </si>
  <si>
    <t>AGH bioAktiv 24 kg</t>
  </si>
  <si>
    <t>BA</t>
  </si>
  <si>
    <t>01.10012</t>
  </si>
  <si>
    <t>AGH Super 24 kg</t>
  </si>
  <si>
    <t>78x38x30</t>
  </si>
  <si>
    <t>As</t>
  </si>
  <si>
    <t>01.10013</t>
  </si>
  <si>
    <t>AGH Pellets 14 kg</t>
  </si>
  <si>
    <t>65x27x13</t>
  </si>
  <si>
    <t>Ap</t>
  </si>
  <si>
    <t>05.1000/150</t>
  </si>
  <si>
    <t>01.10013-2</t>
  </si>
  <si>
    <t>AGH Pellets 14 kg 2er Pack</t>
  </si>
  <si>
    <t>01.10014</t>
  </si>
  <si>
    <t>AGH Leinstroh 20 kg</t>
  </si>
  <si>
    <t>ALin</t>
  </si>
  <si>
    <t>01.10050/15</t>
  </si>
  <si>
    <t>AGH Brennpelets 15 kg Din+</t>
  </si>
  <si>
    <t>BP</t>
  </si>
  <si>
    <t>01.10009/Palette</t>
  </si>
  <si>
    <t>AGH Bioaktiv 24kg x 15 Sack 360kg / 1 Palette</t>
  </si>
  <si>
    <t>01.10070</t>
  </si>
  <si>
    <t>EURO-lin aus Leinstroh - 20 kg Ballen</t>
  </si>
  <si>
    <t>64x40x44</t>
  </si>
  <si>
    <t>EL</t>
  </si>
  <si>
    <t>05.1000/380</t>
  </si>
  <si>
    <t>Div. Hersteller</t>
  </si>
  <si>
    <t>01.10081</t>
  </si>
  <si>
    <t>AUBIOSE Hanfeinstreu - 20 kg Ballen</t>
  </si>
  <si>
    <t>78x31x39</t>
  </si>
  <si>
    <t>AUB</t>
  </si>
  <si>
    <t>01.10083</t>
  </si>
  <si>
    <t>AUBIOSE mit Eucalyptus - 20 kg Ballen</t>
  </si>
  <si>
    <t>AUBey</t>
  </si>
  <si>
    <t>01.10091</t>
  </si>
  <si>
    <t>STROHMEHL - staubfrei 22 kg-Ballen</t>
  </si>
  <si>
    <t>78x30x29</t>
  </si>
  <si>
    <t>STM</t>
  </si>
  <si>
    <t>01.10092</t>
  </si>
  <si>
    <t>hippo gold - 20 kg Ballen</t>
  </si>
  <si>
    <t>HG</t>
  </si>
  <si>
    <t>01.10095</t>
  </si>
  <si>
    <t>Equi-LIN 19 kg Leinenstroh</t>
  </si>
  <si>
    <t>73x40x20</t>
  </si>
  <si>
    <t>01.20002/CH24</t>
  </si>
  <si>
    <t>Chipsi-Super 24 kg</t>
  </si>
  <si>
    <t>CHs24</t>
  </si>
  <si>
    <t>01.20002/C</t>
  </si>
  <si>
    <t>CHIPSI - Super 15 kg</t>
  </si>
  <si>
    <t>CHs15</t>
  </si>
  <si>
    <t>01.20005</t>
  </si>
  <si>
    <t>CHIPSI - Classic 60L - 3,2 kg</t>
  </si>
  <si>
    <t>CHcl</t>
  </si>
  <si>
    <t>01.200013/10</t>
  </si>
  <si>
    <t>CHIPSI - Farmland Narturstroh 10 kg (300ml)</t>
  </si>
  <si>
    <t>78x26x38</t>
  </si>
  <si>
    <t>Stroh10kg</t>
  </si>
  <si>
    <t>CHIPSI</t>
  </si>
  <si>
    <t>01.20014/1</t>
  </si>
  <si>
    <t>CHIPSI - SUNSHINE Wiesenheu 1 kg</t>
  </si>
  <si>
    <t>Heu 1kg</t>
  </si>
  <si>
    <t>01.20014/4</t>
  </si>
  <si>
    <t>CHIPSI - SUNSHINE Wiesenheu 4 kg (120ml)</t>
  </si>
  <si>
    <t>Heu 4 kg</t>
  </si>
  <si>
    <t>01.20014/10</t>
  </si>
  <si>
    <t>CHIPSI - SUNSHINE Wiesenheu 10 kg (300ml)</t>
  </si>
  <si>
    <t>Heu 10kg</t>
  </si>
  <si>
    <t>01.30001MIX</t>
  </si>
  <si>
    <t xml:space="preserve">AGH Mix 19 kg </t>
  </si>
  <si>
    <t>Amix</t>
  </si>
  <si>
    <t>01.30001X</t>
  </si>
  <si>
    <t>AGH Xtreme 18 kg</t>
  </si>
  <si>
    <t>AXT</t>
  </si>
  <si>
    <t>01.30005</t>
  </si>
  <si>
    <t>AGH Anibest Kleintier-Span 60 lt</t>
  </si>
  <si>
    <t>Anibest 60ltr.</t>
  </si>
  <si>
    <t>01.41001-16</t>
  </si>
  <si>
    <t>Waldgold - EINSTREU 16 L-Sack</t>
  </si>
  <si>
    <t>52x30x7</t>
  </si>
  <si>
    <t>WG16l</t>
  </si>
  <si>
    <t>Div. Hersteller / Waldgold</t>
  </si>
  <si>
    <t>01.41001-32</t>
  </si>
  <si>
    <t>Waldgold - EINSTREU 32 L-Sack (2x16l)</t>
  </si>
  <si>
    <t>01.41001-48</t>
  </si>
  <si>
    <t>Waldgold - EINSTREU 48 L-Sack (3x16l)</t>
  </si>
  <si>
    <t>05.1000K/1</t>
  </si>
  <si>
    <t>01.41001-64</t>
  </si>
  <si>
    <t>Waldgold - EINSTREU 48 L-Sack (4x16l)</t>
  </si>
  <si>
    <t>01.41001-60</t>
  </si>
  <si>
    <t>Waldgold - EINSTREU 60 L-Sack</t>
  </si>
  <si>
    <t>80x40x15</t>
  </si>
  <si>
    <t>WG60l</t>
  </si>
  <si>
    <t>05.1000/200</t>
  </si>
  <si>
    <t>01.41001-60-2</t>
  </si>
  <si>
    <t>Waldgold - EINSTREU 60 L-Sack 2er Pack</t>
  </si>
  <si>
    <t>90x45x9</t>
  </si>
  <si>
    <t>01.41001-51S</t>
  </si>
  <si>
    <t>HORSEDREAM Waldgold (3060 l (1 Palette))</t>
  </si>
  <si>
    <t>01.4300</t>
  </si>
  <si>
    <t>AROMA SMOKE PELLET ROSEMARY 1 KG</t>
  </si>
  <si>
    <t>Ameco-Produkte</t>
  </si>
  <si>
    <t>01.4301</t>
  </si>
  <si>
    <t>AROMA SMOKE PELLET SALBEI 1 KG</t>
  </si>
  <si>
    <t>01.4302</t>
  </si>
  <si>
    <t>AROMA SMOKE PELLET GARLIC 1 KG</t>
  </si>
  <si>
    <t>01.45014</t>
  </si>
  <si>
    <t>Hemparade HempFlax, 14 kg</t>
  </si>
  <si>
    <t>76x41x22</t>
  </si>
  <si>
    <t>01.45014-2</t>
  </si>
  <si>
    <t>Hemparade HempFlax, 14 kg x2</t>
  </si>
  <si>
    <t>76x41x46</t>
  </si>
  <si>
    <t>01.45048</t>
  </si>
  <si>
    <t>Mini Hemp 48 Liter</t>
  </si>
  <si>
    <t>39x29x14</t>
  </si>
  <si>
    <t>05.1000K/19</t>
  </si>
  <si>
    <t>01.45048-2</t>
  </si>
  <si>
    <t>Mini Hemp 48 Liter x 2</t>
  </si>
  <si>
    <t>01.45048-4</t>
  </si>
  <si>
    <t>Mini Hemp 48 Liter x 4</t>
  </si>
  <si>
    <t>01.45100</t>
  </si>
  <si>
    <t>Mini Hemp 100 Liter</t>
  </si>
  <si>
    <t>55x39x20</t>
  </si>
  <si>
    <t>01.45100-2</t>
  </si>
  <si>
    <t>Mini Hemp 100 Liter x 2</t>
  </si>
  <si>
    <t>01.70001/550</t>
  </si>
  <si>
    <t>BOXENSPAN "Mix" ca. 18 kg/550 l</t>
  </si>
  <si>
    <t>BOX550</t>
  </si>
  <si>
    <t>Boxenspan-Produkte</t>
  </si>
  <si>
    <t>01.70001/625</t>
  </si>
  <si>
    <t>BOXENSPAN "Mix" ca. 23 kg/625 l</t>
  </si>
  <si>
    <t>BOX625</t>
  </si>
  <si>
    <t>01.9001</t>
  </si>
  <si>
    <t>Boxengold Premium Ecostreu Pferd 20 kg</t>
  </si>
  <si>
    <t>78x39x25</t>
  </si>
  <si>
    <t>BoxG</t>
  </si>
  <si>
    <t>01.9002</t>
  </si>
  <si>
    <t>Boxengold Premium Ecostreu Performance Pferd 20 kg</t>
  </si>
  <si>
    <t>Boxperf</t>
  </si>
  <si>
    <t>01.9011</t>
  </si>
  <si>
    <t>Boxengold Premium Ecostreu Kleintier 20 kg</t>
  </si>
  <si>
    <t>BoxR</t>
  </si>
  <si>
    <t>01.9012</t>
  </si>
  <si>
    <t>Boxengold Premium Ecostreu Kleintier 4,5 kg</t>
  </si>
  <si>
    <t>BoxR4,5</t>
  </si>
  <si>
    <t>01.9012-2</t>
  </si>
  <si>
    <t>BoxR2x4,5</t>
  </si>
  <si>
    <t>01.9012-4</t>
  </si>
  <si>
    <t>BoxR4x4,5</t>
  </si>
  <si>
    <t>01.9021</t>
  </si>
  <si>
    <t>Boxengold Premium Ecostreu Katze 10L (klumpend)</t>
  </si>
  <si>
    <t>01.9022</t>
  </si>
  <si>
    <t>Boxengold Premium Ecostreu Katze 20L (klumpend)</t>
  </si>
  <si>
    <t>01.9101</t>
  </si>
  <si>
    <t>Ameco - absolut staubfrei Boxeneinstreu 20 kg</t>
  </si>
  <si>
    <t>AM</t>
  </si>
  <si>
    <t>01.9102</t>
  </si>
  <si>
    <t>HORSEDREAM - Performance Pferd 20 kg</t>
  </si>
  <si>
    <t>01.9112</t>
  </si>
  <si>
    <t>HORSEDREAM - EcoBed Kleintier 4,5 kg</t>
  </si>
  <si>
    <t>01.9121</t>
  </si>
  <si>
    <t>Cool Cat Clumping Granules 10 lt/4,3 kg</t>
  </si>
  <si>
    <t>CCCG</t>
  </si>
  <si>
    <t>01.9122</t>
  </si>
  <si>
    <t>Cool Cat Clumping Pellets (4mm) 10 lt/5,0 kg</t>
  </si>
  <si>
    <t>CCCP</t>
  </si>
  <si>
    <t>01.9123</t>
  </si>
  <si>
    <t>Cool Cat Original Granules 10 lt/4,3 kg</t>
  </si>
  <si>
    <t>CCOG</t>
  </si>
  <si>
    <t>01.9124</t>
  </si>
  <si>
    <t>Cool Cat Original Pellets (4mm) 10lt/5,0 kg</t>
  </si>
  <si>
    <t>CCOP</t>
  </si>
  <si>
    <t>01.9125</t>
  </si>
  <si>
    <t>Cool Pet Original Peletts (6mm) 10lt/5,0 kg</t>
  </si>
  <si>
    <t>CPOP</t>
  </si>
  <si>
    <t>02.10001</t>
  </si>
  <si>
    <t>HORSEDREAM Leinstroxxel 20 kg</t>
  </si>
  <si>
    <t>LSt</t>
  </si>
  <si>
    <t>HORSEDREAM</t>
  </si>
  <si>
    <t>02.10002</t>
  </si>
  <si>
    <t>HORSEDREAM POWER-HEMP classic 20 kg</t>
  </si>
  <si>
    <t>PHc</t>
  </si>
  <si>
    <t>02.10002/p15</t>
  </si>
  <si>
    <t>POWER-HEMP pellets 15 kg Sack</t>
  </si>
  <si>
    <t>PHp</t>
  </si>
  <si>
    <t>02.10002/S</t>
  </si>
  <si>
    <t>HORSEDREAM POWER-HEMP super 20 kg</t>
  </si>
  <si>
    <t>PHs</t>
  </si>
  <si>
    <t>02.10002/s-18</t>
  </si>
  <si>
    <t>HORSEDREAM Power-Hemp super 360 kg 1 Palettte</t>
  </si>
  <si>
    <t>02.10005/18</t>
  </si>
  <si>
    <t>POWER-TIMBER-Span classic</t>
  </si>
  <si>
    <t>PT18</t>
  </si>
  <si>
    <t>02.10005/19</t>
  </si>
  <si>
    <t xml:space="preserve">POWER-TIMBER 19 kg </t>
  </si>
  <si>
    <t>PT19</t>
  </si>
  <si>
    <t>0.10005max</t>
  </si>
  <si>
    <t>POWER-TIMBER-Span extreme</t>
  </si>
  <si>
    <t>PTmax</t>
  </si>
  <si>
    <t>02.10008</t>
  </si>
  <si>
    <t>HORSEDREAM Rapsstroxxel 20 kg</t>
  </si>
  <si>
    <t>Raps</t>
  </si>
  <si>
    <t>02.10009/25</t>
  </si>
  <si>
    <t>HORSEDREAM stroxxel-pellets 25 kg</t>
  </si>
  <si>
    <t>STP25</t>
  </si>
  <si>
    <t>02.10011F</t>
  </si>
  <si>
    <t>HORSEDREAM POWER-LIN 19 kg</t>
  </si>
  <si>
    <t>88x40x25</t>
  </si>
  <si>
    <t>PL</t>
  </si>
  <si>
    <t>01.10090</t>
  </si>
  <si>
    <t xml:space="preserve"> EQUUS FLAX</t>
  </si>
  <si>
    <t>EQF</t>
  </si>
  <si>
    <t>Futtermittel</t>
  </si>
  <si>
    <t>Artikel- nummer</t>
  </si>
  <si>
    <t>Produkt</t>
  </si>
  <si>
    <t>Kürzel</t>
  </si>
  <si>
    <t>02.10035/25</t>
  </si>
  <si>
    <t>HORSEDREAM-müsli complete-plus 25kg</t>
  </si>
  <si>
    <t>cp</t>
  </si>
  <si>
    <t>04.10453</t>
  </si>
  <si>
    <t>HAVENS Gastro+ 20 kg</t>
  </si>
  <si>
    <t>HavG</t>
  </si>
  <si>
    <t>Havens</t>
  </si>
  <si>
    <t>4A-BXQB-Z7DC</t>
  </si>
  <si>
    <t>GoldMedal 5kg Nachfüllpack</t>
  </si>
  <si>
    <t>MED</t>
  </si>
  <si>
    <t>07.00098</t>
  </si>
  <si>
    <t>Kernkraft Muskel 5 kg</t>
  </si>
  <si>
    <t>07.00512</t>
  </si>
  <si>
    <t>Equigard Classic Pellets 25kg</t>
  </si>
  <si>
    <t>07.00567</t>
  </si>
  <si>
    <t>Brandon xl 25 kg</t>
  </si>
  <si>
    <t>bxl</t>
  </si>
  <si>
    <t>St. Hippolyt</t>
  </si>
  <si>
    <t>07.00629</t>
  </si>
  <si>
    <t>Agrobs Alpengrün Müsli</t>
  </si>
  <si>
    <t>AGmü</t>
  </si>
  <si>
    <t>Agrobs</t>
  </si>
  <si>
    <t>07.00816</t>
  </si>
  <si>
    <t>Brandon XP 20 kg</t>
  </si>
  <si>
    <t>BXP</t>
  </si>
  <si>
    <t>07.00830</t>
  </si>
  <si>
    <t>Brandon Plus Gastrointestinal 3 kg</t>
  </si>
  <si>
    <t>07.00831</t>
  </si>
  <si>
    <t>Brandon Plus Hepatic 3 kg</t>
  </si>
  <si>
    <t>07.00834</t>
  </si>
  <si>
    <t>Brandon plus respiraticum 3 kg</t>
  </si>
  <si>
    <t>07.00842</t>
  </si>
  <si>
    <t>Brandon Plus Medigest 3 kg</t>
  </si>
  <si>
    <t>Bgast</t>
  </si>
  <si>
    <t>07.00855</t>
  </si>
  <si>
    <t>Brandon Plus Medigest FORTE 1 kg</t>
  </si>
  <si>
    <t>07.00867</t>
  </si>
  <si>
    <t>Movicur 5 kg Nachfüllpack</t>
  </si>
  <si>
    <t>07.00868</t>
  </si>
  <si>
    <t>07.00869</t>
  </si>
  <si>
    <t>Mucolyt 5 kg Nachfüllpack</t>
  </si>
  <si>
    <t>07.00870</t>
  </si>
  <si>
    <t>Ungulat Hufkur 5 kg Nachfüllpack</t>
  </si>
  <si>
    <t xml:space="preserve">ung5 </t>
  </si>
  <si>
    <t>07.00877</t>
  </si>
  <si>
    <t>Brandon c-mash 7,5 kg</t>
  </si>
  <si>
    <t>07.00938</t>
  </si>
  <si>
    <t>Brandon Plus GastroBalsam 2,5 L</t>
  </si>
  <si>
    <t>07.00939</t>
  </si>
  <si>
    <t>RiceLein 25 kg</t>
  </si>
  <si>
    <t>07.00940</t>
  </si>
  <si>
    <t>VitaComplex sensitiv 3 kg</t>
  </si>
  <si>
    <t>07.00941</t>
  </si>
  <si>
    <t>Vitamineral sensitiv 3 kg</t>
  </si>
  <si>
    <t>07.00953</t>
  </si>
  <si>
    <t>Kernkraft 15 kg</t>
  </si>
  <si>
    <t>07.09141</t>
  </si>
  <si>
    <t>wes pcr 25kg</t>
  </si>
  <si>
    <t>07.00967</t>
  </si>
  <si>
    <t>Robusan 28x40 gr.</t>
  </si>
  <si>
    <t>07.01045</t>
  </si>
  <si>
    <t>C`Real Basics Schwarzhaferflocken 15 kg</t>
  </si>
  <si>
    <t>07.01046</t>
  </si>
  <si>
    <t>C`Real Basics Maisflocken 15 kg</t>
  </si>
  <si>
    <t>07.01074</t>
  </si>
  <si>
    <t xml:space="preserve">SemiColon Riegel (Karton 28 x 50 g) </t>
  </si>
  <si>
    <t>07.01095</t>
  </si>
  <si>
    <t>GlyxWiese Wiesentaler 15 kg</t>
  </si>
  <si>
    <t>07.01120</t>
  </si>
  <si>
    <t>Hesta Plus Eisen Liquid 1 l bei Eisenmangel</t>
  </si>
  <si>
    <t>07.01122</t>
  </si>
  <si>
    <t>Hesta Plus Mangan Liquid 1 l bei Manganmangel</t>
  </si>
  <si>
    <t>07.01124</t>
  </si>
  <si>
    <t>Zink Liquid 1 l</t>
  </si>
  <si>
    <t>07.01126</t>
  </si>
  <si>
    <t>Brandon Plus leogard 1L Energie &amp; Vitalität</t>
  </si>
  <si>
    <t>07.01143</t>
  </si>
  <si>
    <t>Immun Liquid, 1 l</t>
  </si>
  <si>
    <t>07.09143</t>
  </si>
  <si>
    <t>WES All in One 15 kg</t>
  </si>
  <si>
    <t>AiO</t>
  </si>
  <si>
    <t>07.09144</t>
  </si>
  <si>
    <t>WES Crispy Crunch 15 kg</t>
  </si>
  <si>
    <t>wes cr 15kg</t>
  </si>
  <si>
    <t>07.09146</t>
  </si>
  <si>
    <t>WES Bodyguard 25 kg</t>
  </si>
  <si>
    <t>B25</t>
  </si>
  <si>
    <t>07.09147</t>
  </si>
  <si>
    <t>WES Basic Crunch Pellet 25 kg</t>
  </si>
  <si>
    <t>07.09149</t>
  </si>
  <si>
    <t>WES Energy Boost 5 Liter Kanister</t>
  </si>
  <si>
    <t>Boost 5l</t>
  </si>
  <si>
    <t>07.09150</t>
  </si>
  <si>
    <t>WES Bodyguard 5 kg</t>
  </si>
  <si>
    <t>bodyg5kg</t>
  </si>
  <si>
    <t>07.09153</t>
  </si>
  <si>
    <t>WES Gastro Beet 20 kg</t>
  </si>
  <si>
    <t>Gbeet</t>
  </si>
  <si>
    <t>07.09154</t>
  </si>
  <si>
    <t>WES Protein Booster 0,750 kg Dose</t>
  </si>
  <si>
    <t>07.09155</t>
  </si>
  <si>
    <t>WES Sensitive Mash 15 kg</t>
  </si>
  <si>
    <t>senM</t>
  </si>
  <si>
    <t>07.09157</t>
  </si>
  <si>
    <t>WES Nanoshot E Öl 300 ml</t>
  </si>
  <si>
    <t>Nano</t>
  </si>
  <si>
    <t>07.09159</t>
  </si>
  <si>
    <t>Struktur Energetikum Getreidefrei 15 kg</t>
  </si>
  <si>
    <t>StEgef</t>
  </si>
  <si>
    <t>07.09172</t>
  </si>
  <si>
    <t>WES for Horses Sensitive Crunch 25 kg</t>
  </si>
  <si>
    <t>07.09173</t>
  </si>
  <si>
    <t>WES for Horses - Sensitive Bodyguard 20 kg</t>
  </si>
  <si>
    <t>07.09174</t>
  </si>
  <si>
    <t>WES for Horses - Sensitive Bodyguard 10 kg</t>
  </si>
  <si>
    <t>07.09175</t>
  </si>
  <si>
    <t>Wes NoStress Liquid 1l</t>
  </si>
  <si>
    <t>07.10001</t>
  </si>
  <si>
    <t>Vollwertpellet 25 kg</t>
  </si>
  <si>
    <t>vwp</t>
  </si>
  <si>
    <t>07.10013</t>
  </si>
  <si>
    <t>Struktur Energetikum 20 kg</t>
  </si>
  <si>
    <t xml:space="preserve">StE </t>
  </si>
  <si>
    <t>07.10017</t>
  </si>
  <si>
    <t>Reform "G" 20 kg</t>
  </si>
  <si>
    <t>RG</t>
  </si>
  <si>
    <t>07.10022</t>
  </si>
  <si>
    <t>Hesta Mix Müsli 20 kg</t>
  </si>
  <si>
    <t>HMM</t>
  </si>
  <si>
    <t>07.10030</t>
  </si>
  <si>
    <t>NutriStar 20 kg</t>
  </si>
  <si>
    <t>NSt</t>
  </si>
  <si>
    <t>07.10051</t>
  </si>
  <si>
    <t>Hesta-Mix Light Energy 20 kg</t>
  </si>
  <si>
    <t>HMLE</t>
  </si>
  <si>
    <t>07.10068</t>
  </si>
  <si>
    <t>Hesta-Mix Light Energy 10 kg</t>
  </si>
  <si>
    <t>07.10102</t>
  </si>
  <si>
    <t>Pre Alpin Wiesencops 25 kg</t>
  </si>
  <si>
    <t>WC</t>
  </si>
  <si>
    <t>07.10118</t>
  </si>
  <si>
    <t>AG Alpengrün Mash 15 kg</t>
  </si>
  <si>
    <t>AGMash15kg</t>
  </si>
  <si>
    <t>07.10113</t>
  </si>
  <si>
    <t>PRE ALPIN Wiesenflakes 20 kg</t>
  </si>
  <si>
    <t>WF</t>
  </si>
  <si>
    <t>07.10124</t>
  </si>
  <si>
    <t>PRE ALPIN Senior 12,5 kg</t>
  </si>
  <si>
    <t>Agsen</t>
  </si>
  <si>
    <t>07.10124-2</t>
  </si>
  <si>
    <t>PRE ALPIN Senior 12,5 kg 2er Pack</t>
  </si>
  <si>
    <t>07.10125</t>
  </si>
  <si>
    <t>Vitalmüsli Beste Jahre</t>
  </si>
  <si>
    <t>BJ</t>
  </si>
  <si>
    <t>07.10130</t>
  </si>
  <si>
    <t>Equigard Müsli 20 kg</t>
  </si>
  <si>
    <t>EG</t>
  </si>
  <si>
    <t>07.10201</t>
  </si>
  <si>
    <t>Equilac Müsli 20 kg</t>
  </si>
  <si>
    <t>07.10301</t>
  </si>
  <si>
    <t>Fohlengold 20 kg</t>
  </si>
  <si>
    <t>07.10401</t>
  </si>
  <si>
    <t>Supercondition 20 kg</t>
  </si>
  <si>
    <t>07.10403</t>
  </si>
  <si>
    <t>Supercondition 10 kg</t>
  </si>
  <si>
    <t>07.10405</t>
  </si>
  <si>
    <t>Super Condition 5 kg</t>
  </si>
  <si>
    <t>07.10410</t>
  </si>
  <si>
    <t>High Performer 3 kg</t>
  </si>
  <si>
    <t>07.10500</t>
  </si>
  <si>
    <t>Glyx-Wiese Seniorfaser 15 kg</t>
  </si>
  <si>
    <t>07.10501</t>
  </si>
  <si>
    <t>Glyx-Wiese Müsli 15 kg</t>
  </si>
  <si>
    <t xml:space="preserve">GLxw </t>
  </si>
  <si>
    <t>07.10508</t>
  </si>
  <si>
    <t>Kieselgold 4 kg - Kieselgur-Granulat für Fell und Hufe</t>
  </si>
  <si>
    <t>07.10509</t>
  </si>
  <si>
    <t>Kieselgold 10kg für Fell und Hufe</t>
  </si>
  <si>
    <t>07.10817</t>
  </si>
  <si>
    <t>Lobs Belohnungswürfel 1,0 kg</t>
  </si>
  <si>
    <t>Lobs</t>
  </si>
  <si>
    <t>07.10818</t>
  </si>
  <si>
    <t>Glyx- Lobs</t>
  </si>
  <si>
    <t>Glxlobs</t>
  </si>
  <si>
    <t>07.10825</t>
  </si>
  <si>
    <t>Glyx Lobs 10 kg</t>
  </si>
  <si>
    <t>07.11129</t>
  </si>
  <si>
    <t>St. Hippolyt Leinöl 2,5 l</t>
  </si>
  <si>
    <t>07.11132</t>
  </si>
  <si>
    <t>Leinöl kaltgepresst 5 ltr.</t>
  </si>
  <si>
    <t>07.11134</t>
  </si>
  <si>
    <t>Mineralleckstein 5 kg</t>
  </si>
  <si>
    <t>Minleck5</t>
  </si>
  <si>
    <t>07.11152</t>
  </si>
  <si>
    <t xml:space="preserve">EquiMall Forte, 500 ml </t>
  </si>
  <si>
    <t>07.11204</t>
  </si>
  <si>
    <t>Mucolyt Atemwegskur 10 kg</t>
  </si>
  <si>
    <t>07.12007</t>
  </si>
  <si>
    <t>Knoblizem 3 kg Eimer</t>
  </si>
  <si>
    <t>Knobi3</t>
  </si>
  <si>
    <t>07.12009</t>
  </si>
  <si>
    <t>Knoblizem-Mineral 10 kg</t>
  </si>
  <si>
    <t>07.13013</t>
  </si>
  <si>
    <t>Beta-Carotin Knoblauch 3kg</t>
  </si>
  <si>
    <t>07.13110</t>
  </si>
  <si>
    <t>Hefekultur 1 kg</t>
  </si>
  <si>
    <t>07.13112</t>
  </si>
  <si>
    <t>Hefekultur 2,5 kg</t>
  </si>
  <si>
    <t>07.13120</t>
  </si>
  <si>
    <t>LinuStar 3 kg</t>
  </si>
  <si>
    <t>linu 3kg</t>
  </si>
  <si>
    <t>07.13121</t>
  </si>
  <si>
    <t>LinuStar 10 kg</t>
  </si>
  <si>
    <t>linu 10</t>
  </si>
  <si>
    <t>07.13122</t>
  </si>
  <si>
    <t>LinuStar 25 kg</t>
  </si>
  <si>
    <t>linu25</t>
  </si>
  <si>
    <t>07.13125</t>
  </si>
  <si>
    <t>GlucoGard 3 kg</t>
  </si>
  <si>
    <t>07.13141</t>
  </si>
  <si>
    <t>Irish Mash 15 kg</t>
  </si>
  <si>
    <t>IM</t>
  </si>
  <si>
    <t>07.13145</t>
  </si>
  <si>
    <t>Irish Mash 7,5 kg</t>
  </si>
  <si>
    <t>07.13147</t>
  </si>
  <si>
    <t>Irish Mash 5 kg</t>
  </si>
  <si>
    <t>07.13148</t>
  </si>
  <si>
    <t>Glyx Mash 5kg</t>
  </si>
  <si>
    <t>07.13149</t>
  </si>
  <si>
    <t>St. Hippolyt Glyx-Mash 15 kg</t>
  </si>
  <si>
    <t>GlyxM15kg</t>
  </si>
  <si>
    <t>07.14009</t>
  </si>
  <si>
    <t>St. Hippolyt Movicur 5 kg</t>
  </si>
  <si>
    <t>07.14010</t>
  </si>
  <si>
    <t>MOVICUR 10 kg</t>
  </si>
  <si>
    <t>Mov10kg</t>
  </si>
  <si>
    <t>07.14012</t>
  </si>
  <si>
    <t>Ungulat Hufkur 10 kg</t>
  </si>
  <si>
    <t>Ung10kg</t>
  </si>
  <si>
    <t>07.14013</t>
  </si>
  <si>
    <t>Ungulat Hufkur 5 kg</t>
  </si>
  <si>
    <t>Ung5kg</t>
  </si>
  <si>
    <t>07.14014</t>
  </si>
  <si>
    <t>Lamin Forte 10 kg</t>
  </si>
  <si>
    <t>07.14015</t>
  </si>
  <si>
    <t>Lamin forte 3 kg</t>
  </si>
  <si>
    <t>07.14021</t>
  </si>
  <si>
    <t>Biotin Mixture 1 kg</t>
  </si>
  <si>
    <t>07.14022</t>
  </si>
  <si>
    <t>Horsecare Biotin 2,5 kg</t>
  </si>
  <si>
    <t>07.14060</t>
  </si>
  <si>
    <t>Equimeb Hepa 3 kg</t>
  </si>
  <si>
    <t>07.14510</t>
  </si>
  <si>
    <t>Gold Medal 10 kg (Eimer)</t>
  </si>
  <si>
    <t>GM10</t>
  </si>
  <si>
    <t>07.14513</t>
  </si>
  <si>
    <t>Gold Medal 5 kg</t>
  </si>
  <si>
    <t>07.15009</t>
  </si>
  <si>
    <t>Elektrolyte - wasserlöslich 1 kg</t>
  </si>
  <si>
    <t>Elekto1kg</t>
  </si>
  <si>
    <t>07.15010</t>
  </si>
  <si>
    <t>Elektrolyt 2,5 kg</t>
  </si>
  <si>
    <t>07.15040</t>
  </si>
  <si>
    <t>Sorbinum Calcium 10 kg</t>
  </si>
  <si>
    <t>SorbCalc10kg</t>
  </si>
  <si>
    <t>07.15105</t>
  </si>
  <si>
    <t>Gemüse-Kräuter-Mineral.10 kg</t>
  </si>
  <si>
    <t>07.15110</t>
  </si>
  <si>
    <t>SemperMin Mineral Müsli 7,5 kg</t>
  </si>
  <si>
    <t>07.15111</t>
  </si>
  <si>
    <t>SemperMin Müsli 15 kg</t>
  </si>
  <si>
    <t>SMM</t>
  </si>
  <si>
    <t>07.15125</t>
  </si>
  <si>
    <t>Sempermin Classic 5 kg</t>
  </si>
  <si>
    <t>07.15126</t>
  </si>
  <si>
    <t>Sempermin Classic 25 kg</t>
  </si>
  <si>
    <t>07.15130</t>
  </si>
  <si>
    <t>SemperCube 3 kg</t>
  </si>
  <si>
    <t>SC 3kg</t>
  </si>
  <si>
    <t>07.15131</t>
  </si>
  <si>
    <t>SemperCube 10 kg</t>
  </si>
  <si>
    <t>SC 10kg</t>
  </si>
  <si>
    <t>07.15132</t>
  </si>
  <si>
    <t>SemperCube 25 kg</t>
  </si>
  <si>
    <t>SC 25kg</t>
  </si>
  <si>
    <t>07.15200</t>
  </si>
  <si>
    <t>Himalaya Salz 3 kg</t>
  </si>
  <si>
    <t>Him3kg</t>
  </si>
  <si>
    <t>07.15333</t>
  </si>
  <si>
    <t>Glyx-Wiese Heucobs für Pferde, 20 kg</t>
  </si>
  <si>
    <t>07.15510</t>
  </si>
  <si>
    <t>Vitamin E-Zellaktivator 1 kg</t>
  </si>
  <si>
    <t>07.15511</t>
  </si>
  <si>
    <t>Vitamin E-Zellaktivator 2,5</t>
  </si>
  <si>
    <t>07.15520</t>
  </si>
  <si>
    <t>Glandogard 3,75 kg</t>
  </si>
  <si>
    <t>07.15798</t>
  </si>
  <si>
    <t>Equilizer 2,5 kg</t>
  </si>
  <si>
    <t>07.15799</t>
  </si>
  <si>
    <t>Makor 3 kg</t>
  </si>
  <si>
    <t>07.15800</t>
  </si>
  <si>
    <t>Equilizer  1 kg</t>
  </si>
  <si>
    <t>07.15802</t>
  </si>
  <si>
    <t xml:space="preserve">Kräuterpellets für Pferde 3,0 kg </t>
  </si>
  <si>
    <t>07.15803</t>
  </si>
  <si>
    <t>Anti-Stress-Kräuterpellets 10 kg</t>
  </si>
  <si>
    <t>07.15805</t>
  </si>
  <si>
    <t>Makor 1 kg</t>
  </si>
  <si>
    <t>07.15806</t>
  </si>
  <si>
    <t>MicroVital 3 kg</t>
  </si>
  <si>
    <t>Microvit3kg</t>
  </si>
  <si>
    <t>07.15809</t>
  </si>
  <si>
    <t>MicroVital 10 kg</t>
  </si>
  <si>
    <t>microvit10kg</t>
  </si>
  <si>
    <t>07.15815</t>
  </si>
  <si>
    <t>St. Hippolyt Magnesium B12 1 kg</t>
  </si>
  <si>
    <t>07.15816</t>
  </si>
  <si>
    <t>St. Hippolyt Magnesium B12 2,5 kg</t>
  </si>
  <si>
    <t>07.15822</t>
  </si>
  <si>
    <t>WesBody 10 kg</t>
  </si>
  <si>
    <t>WesB10</t>
  </si>
  <si>
    <t>07.17060</t>
  </si>
  <si>
    <t>Movilan Dog 1 kg</t>
  </si>
  <si>
    <t>07.18801</t>
  </si>
  <si>
    <t>Hesta plus Zink 1kg Dose</t>
  </si>
  <si>
    <t>07.18803</t>
  </si>
  <si>
    <t>Hesta Plus Kupfer 1 kg</t>
  </si>
  <si>
    <t>07.18805</t>
  </si>
  <si>
    <t>Hesta Plus Mangan 1 kg</t>
  </si>
  <si>
    <t>07.18806</t>
  </si>
  <si>
    <t>Hesta Plus Eisen 1 kg</t>
  </si>
  <si>
    <t>07.18810</t>
  </si>
  <si>
    <t>Movilan Dog 3 kg</t>
  </si>
  <si>
    <t>Artikel-      nummer</t>
  </si>
  <si>
    <t>Paletten</t>
  </si>
  <si>
    <t>Produktmaße</t>
  </si>
  <si>
    <t>Karton</t>
  </si>
  <si>
    <t xml:space="preserve">Bestand </t>
  </si>
  <si>
    <t>EK-Preis/ Einheit fH</t>
  </si>
  <si>
    <t>Wert</t>
  </si>
  <si>
    <t>EK-Preis/ Einheit</t>
  </si>
  <si>
    <t>Einweg</t>
  </si>
  <si>
    <t>99.1001</t>
  </si>
  <si>
    <t>EU</t>
  </si>
  <si>
    <t>99.1002</t>
  </si>
  <si>
    <t>DEU</t>
  </si>
  <si>
    <t>FEFCO 0201</t>
  </si>
  <si>
    <t>AGHBP15</t>
  </si>
  <si>
    <t>01.41001-30</t>
  </si>
  <si>
    <t>Waldgold - EINSTREU 30 L-Sack</t>
  </si>
  <si>
    <t>WG30l</t>
  </si>
  <si>
    <t>FEFCO 0201/Besser neu</t>
  </si>
  <si>
    <t>81x43x22</t>
  </si>
  <si>
    <t>St: Hippolyt</t>
  </si>
  <si>
    <t>bodyg25kg</t>
  </si>
  <si>
    <t>boost</t>
  </si>
  <si>
    <t>Sens Mash15kg</t>
  </si>
  <si>
    <t>Nanoshot</t>
  </si>
  <si>
    <t>Sempmin15kg</t>
  </si>
  <si>
    <t>WesBody10kg</t>
  </si>
  <si>
    <t>Saldo</t>
  </si>
  <si>
    <t>Verbrauchsmaterial</t>
  </si>
  <si>
    <t>01.40001</t>
  </si>
  <si>
    <t>Kambio</t>
  </si>
  <si>
    <t>01.40002/o</t>
  </si>
  <si>
    <t>NA-Bri</t>
  </si>
  <si>
    <t>01.42001</t>
  </si>
  <si>
    <t>BU-BRI</t>
  </si>
  <si>
    <t>04.5110011</t>
  </si>
  <si>
    <t>Valumed 100</t>
  </si>
  <si>
    <t>04.5110016</t>
  </si>
  <si>
    <t>Valumed 500</t>
  </si>
  <si>
    <t>Nr.1 AP</t>
  </si>
  <si>
    <t>05.1000K/2</t>
  </si>
  <si>
    <t>Nr. 2</t>
  </si>
  <si>
    <t>05.1000K/MAX4</t>
  </si>
  <si>
    <t>Nr. 4 MAX</t>
  </si>
  <si>
    <t>05.1000K/5</t>
  </si>
  <si>
    <t>Nr. 5</t>
  </si>
  <si>
    <t>05.1000K/10</t>
  </si>
  <si>
    <t>Nr. 12</t>
  </si>
  <si>
    <t>Nr. 19</t>
  </si>
  <si>
    <t>05.1000K/255</t>
  </si>
  <si>
    <t>Nr. 255</t>
  </si>
  <si>
    <t>05.1000K ekz149</t>
  </si>
  <si>
    <t>ekz149</t>
  </si>
  <si>
    <t>05.1000K ekz150</t>
  </si>
  <si>
    <t>ekz150</t>
  </si>
  <si>
    <t>05.1000K ekz157</t>
  </si>
  <si>
    <t>ekz157</t>
  </si>
  <si>
    <t>05.1000K W432</t>
  </si>
  <si>
    <t>W432</t>
  </si>
  <si>
    <t>05.1000K W471</t>
  </si>
  <si>
    <t>W471</t>
  </si>
  <si>
    <t>05.1000K W840-2</t>
  </si>
  <si>
    <t>W840-2</t>
  </si>
  <si>
    <t>05.1000StrF</t>
  </si>
  <si>
    <t>Stretchfolie</t>
  </si>
  <si>
    <t>07.69001</t>
  </si>
  <si>
    <t>Futterbecher</t>
  </si>
  <si>
    <t>07.69605</t>
  </si>
  <si>
    <t>Dosen1700ml</t>
  </si>
  <si>
    <t>07.69607</t>
  </si>
  <si>
    <t>Eimer3kg mit Deckel</t>
  </si>
  <si>
    <t>12.V840</t>
  </si>
  <si>
    <t>Schwedengabel</t>
  </si>
  <si>
    <t>12.V841</t>
  </si>
  <si>
    <t>Gabelstile</t>
  </si>
  <si>
    <t>12.V844</t>
  </si>
  <si>
    <t>Teleskopstile</t>
  </si>
  <si>
    <t>EK</t>
  </si>
  <si>
    <t>800 x 400 x 320</t>
  </si>
  <si>
    <t>800 x 400 x 350</t>
  </si>
  <si>
    <t>350x350x300</t>
  </si>
  <si>
    <t>Karton Nr. 5</t>
  </si>
  <si>
    <t>730x395x200</t>
  </si>
  <si>
    <t>Karton Nr. 255</t>
  </si>
  <si>
    <t>250x250x250</t>
  </si>
  <si>
    <t>800x400x400</t>
  </si>
  <si>
    <t>neu für BOXENSP.</t>
  </si>
  <si>
    <t>800x400x260-280</t>
  </si>
  <si>
    <t>neu für PL.</t>
  </si>
  <si>
    <t>820x440x230-250</t>
  </si>
  <si>
    <t>neu für EL/LST</t>
  </si>
  <si>
    <t>650x400x450</t>
  </si>
  <si>
    <t>Benötigte Kartonagen in  1 und/oder 2 Wellig</t>
  </si>
  <si>
    <t>Kartonmaße aussen</t>
  </si>
  <si>
    <t>Menge 1/4 J</t>
  </si>
  <si>
    <t>350 x 350 x 300</t>
  </si>
  <si>
    <t>730 x 395 x 200</t>
  </si>
  <si>
    <t>250 x 250 x 250</t>
  </si>
  <si>
    <t>800 x 400 x 400</t>
  </si>
  <si>
    <t>800 x 400 x 260-280</t>
  </si>
  <si>
    <t>820 x 440 x 230-250</t>
  </si>
  <si>
    <t>650 x 400 x 450</t>
  </si>
  <si>
    <t>01.10009/bio</t>
  </si>
  <si>
    <t>30kg Buchenholzbriketts Buchenbriketts 12 St. Holzbriketts Brennholz Kaminholz Buche</t>
  </si>
  <si>
    <t>01.20030</t>
  </si>
  <si>
    <t>LIGNOCEL 3-4 S Fichteneinstreu 12,5 kg für Schlangen &amp; Reptilien</t>
  </si>
  <si>
    <t>LIGNOCEL</t>
  </si>
  <si>
    <t>Equi-LIN</t>
  </si>
  <si>
    <t>Ap2</t>
  </si>
  <si>
    <t>Pal-BA</t>
  </si>
  <si>
    <t>Axt</t>
  </si>
  <si>
    <t>BuchHoltPrik</t>
  </si>
  <si>
    <t>WG16</t>
  </si>
  <si>
    <t>WG32</t>
  </si>
  <si>
    <t>WG60</t>
  </si>
  <si>
    <t>WG2</t>
  </si>
  <si>
    <t>WG48</t>
  </si>
  <si>
    <t>WG64</t>
  </si>
  <si>
    <t>Pal-WG</t>
  </si>
  <si>
    <t>HempF</t>
  </si>
  <si>
    <t>HempF2</t>
  </si>
  <si>
    <t>MiniHemp</t>
  </si>
  <si>
    <t>BoxGP</t>
  </si>
  <si>
    <t>Pal-PHs</t>
  </si>
  <si>
    <t>CP</t>
  </si>
  <si>
    <t>GoldMed</t>
  </si>
  <si>
    <t>Kernkra</t>
  </si>
  <si>
    <t>Movicur</t>
  </si>
  <si>
    <t>Mucolyt</t>
  </si>
  <si>
    <t>VitaCom</t>
  </si>
  <si>
    <t>Vitamin</t>
  </si>
  <si>
    <t>Robusan</t>
  </si>
  <si>
    <t>GlyxWie</t>
  </si>
  <si>
    <t>Zink Li</t>
  </si>
  <si>
    <t>Immun L</t>
  </si>
  <si>
    <t>Equilac</t>
  </si>
  <si>
    <t>Super C</t>
  </si>
  <si>
    <t>High Pe</t>
  </si>
  <si>
    <t>Glyx Lo</t>
  </si>
  <si>
    <t xml:space="preserve">Leinöl </t>
  </si>
  <si>
    <t>EquiMal</t>
  </si>
  <si>
    <t>Knobliz</t>
  </si>
  <si>
    <t>Irish M</t>
  </si>
  <si>
    <t>Glyx Ma</t>
  </si>
  <si>
    <t>Lamin F</t>
  </si>
  <si>
    <t>Lamin f</t>
  </si>
  <si>
    <t xml:space="preserve">Biotin </t>
  </si>
  <si>
    <t>Horseca</t>
  </si>
  <si>
    <t>Equimeb</t>
  </si>
  <si>
    <t>Gold Me</t>
  </si>
  <si>
    <t>Movilan</t>
  </si>
  <si>
    <t>EGC</t>
  </si>
  <si>
    <t>BXL</t>
  </si>
  <si>
    <t>RiceLein</t>
  </si>
  <si>
    <t>Kernkraft</t>
  </si>
  <si>
    <t>Supercondition</t>
  </si>
  <si>
    <t>Hefekultur</t>
  </si>
  <si>
    <t>GlucoGard</t>
  </si>
  <si>
    <t>Elektrolyt</t>
  </si>
  <si>
    <t>Glandogard</t>
  </si>
  <si>
    <t>Equilizer</t>
  </si>
  <si>
    <t>Makor</t>
  </si>
  <si>
    <t>C`Real Schw</t>
  </si>
  <si>
    <t>C`Real Mais</t>
  </si>
  <si>
    <t>Hesta+Eisen</t>
  </si>
  <si>
    <t>Hesta+Manga</t>
  </si>
  <si>
    <t>Brandon+Vital</t>
  </si>
  <si>
    <t>WES B25</t>
  </si>
  <si>
    <t>WES BCP</t>
  </si>
  <si>
    <t>GBeet</t>
  </si>
  <si>
    <t>Boost</t>
  </si>
  <si>
    <t>StEgf</t>
  </si>
  <si>
    <t>SC</t>
  </si>
  <si>
    <t>SBG</t>
  </si>
  <si>
    <t>NoStress</t>
  </si>
  <si>
    <t>VWp</t>
  </si>
  <si>
    <t>AGMash</t>
  </si>
  <si>
    <t>Agsen2</t>
  </si>
  <si>
    <t>FGold</t>
  </si>
  <si>
    <t>GlyxW Sen</t>
  </si>
  <si>
    <t>GLyxW Mü</t>
  </si>
  <si>
    <t>Kieselgold</t>
  </si>
  <si>
    <t>Beta</t>
  </si>
  <si>
    <t>GemKM</t>
  </si>
  <si>
    <t>SMC</t>
  </si>
  <si>
    <t>GlyxW Heuc</t>
  </si>
  <si>
    <t>Anti-Stress</t>
  </si>
  <si>
    <t>KreuPel</t>
  </si>
  <si>
    <t>MagB12</t>
  </si>
  <si>
    <t>Hesta+Zink</t>
  </si>
  <si>
    <t>Hesta+Kupfer</t>
  </si>
  <si>
    <t>Glyx-Mash</t>
  </si>
  <si>
    <t>LS3</t>
  </si>
  <si>
    <t>LS10</t>
  </si>
  <si>
    <t>LS25</t>
  </si>
  <si>
    <t>WES CCP</t>
  </si>
  <si>
    <t>SemiC</t>
  </si>
  <si>
    <t>C-Mash</t>
  </si>
  <si>
    <t>B+GastroBalsam</t>
  </si>
  <si>
    <t>B+Med</t>
  </si>
  <si>
    <t>B+Res</t>
  </si>
  <si>
    <t>B+Hep</t>
  </si>
  <si>
    <t>B+Gast</t>
  </si>
  <si>
    <t>MiniHemp2x3</t>
  </si>
  <si>
    <t>MiniHemp4x3</t>
  </si>
  <si>
    <t>01.10008/Palette</t>
  </si>
  <si>
    <t>AGH Classic 24 kg  x 15 Sack 360kg / 1 Palette</t>
  </si>
  <si>
    <t>Pal-A24</t>
  </si>
  <si>
    <t>07.10026</t>
  </si>
  <si>
    <t>Hesta Mix Classic 25 kg</t>
  </si>
  <si>
    <t>02.10011F-27</t>
  </si>
  <si>
    <t>HORSEDREAM POWER-LIN 19 kg x 30 570 kg 1 Palette</t>
  </si>
  <si>
    <t xml:space="preserve">07.10026 </t>
  </si>
  <si>
    <t>St.Hippolyt Hesta-Mix Classic, 25 kg</t>
  </si>
  <si>
    <t>HMC</t>
  </si>
  <si>
    <t>SenMash</t>
  </si>
  <si>
    <t>07.00836</t>
  </si>
  <si>
    <t>Brandon Plus Arthorgard 3 kg</t>
  </si>
  <si>
    <t>Brandon+Arth</t>
  </si>
  <si>
    <t>07.13126</t>
  </si>
  <si>
    <t>St.Hippolyt Glucogard 10kg Mineralkomplex bei Stoffwechselproblemen</t>
  </si>
  <si>
    <t>Glucogard</t>
  </si>
  <si>
    <t>01.45014B</t>
  </si>
  <si>
    <t>HempFbio</t>
  </si>
  <si>
    <t>Hemparade HempFlax Biobase Bedding 14 kg - Hanfeinstreu &amp; Nistmaterial mit Eukalyptusöl für Pferde und Kleintiere, ideal bei Atemwegserkrankungen</t>
  </si>
  <si>
    <t>01.45014B-2</t>
  </si>
  <si>
    <t>HempFbio2</t>
  </si>
  <si>
    <t>05.1000/100</t>
  </si>
  <si>
    <t>07.13014</t>
  </si>
  <si>
    <t>Beta-Carotin Knoblauch 10kg</t>
  </si>
  <si>
    <t>07.01043</t>
  </si>
  <si>
    <t>St. Hippolyt C`Real Basics Balance 15 kg</t>
  </si>
  <si>
    <t>C`Real Balance</t>
  </si>
  <si>
    <t>C`Real Basics Balance 15 kg</t>
  </si>
  <si>
    <t>C`Real Bas</t>
  </si>
  <si>
    <t>07.10200</t>
  </si>
  <si>
    <t>Equilac Classic 25 kg</t>
  </si>
  <si>
    <t>EqCl</t>
  </si>
  <si>
    <t>07.10413</t>
  </si>
  <si>
    <t>High Performer 10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</si>
</sst>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11" x14ac:knownFonts="1"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sz val="11"/>
      <name val="Calibri"/>
      <family val="2"/>
      <charset val="1"/>
    </font>
    <font>
      <sz val="11"/>
      <color theme="0"/>
      <name val="Calibri"/>
      <family val="2"/>
      <charset val="1"/>
    </font>
    <font>
      <sz val="14"/>
      <name val="Calibri"/>
      <family val="2"/>
      <charset val="1"/>
    </font>
    <font>
      <sz val="18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 tint="-0.14999847407452621"/>
        <bgColor rgb="FFDDD9C3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5" tint="0.79989013336588644"/>
        <bgColor rgb="FFE6E0EC"/>
      </patternFill>
    </fill>
    <fill>
      <patternFill patternType="solid">
        <fgColor theme="0" tint="-4.9989318521683403E-2"/>
        <bgColor rgb="FFEBF1DE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7" tint="0.79989013336588644"/>
        <bgColor rgb="FFF2DCDB"/>
      </patternFill>
    </fill>
    <fill>
      <patternFill patternType="solid">
        <fgColor theme="8" tint="0.79989013336588644"/>
        <bgColor rgb="FFEBF1DE"/>
      </patternFill>
    </fill>
    <fill>
      <patternFill patternType="solid">
        <fgColor theme="9" tint="0.79989013336588644"/>
        <bgColor rgb="FFEBF1DE"/>
      </patternFill>
    </fill>
    <fill>
      <patternFill patternType="solid">
        <fgColor rgb="FF00B050"/>
        <bgColor rgb="FF008080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0070C0"/>
        <bgColor rgb="FF008080"/>
      </patternFill>
    </fill>
    <fill>
      <patternFill patternType="solid">
        <fgColor theme="3" tint="0.59999389629810485"/>
        <bgColor rgb="FFD9D9D9"/>
      </patternFill>
    </fill>
    <fill>
      <patternFill patternType="solid">
        <fgColor rgb="FF92D050"/>
        <bgColor rgb="FFEBF1DE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9">
    <xf numFmtId="0" fontId="0" fillId="0" borderId="0" xfId="0"/>
    <xf numFmtId="4" fontId="0" fillId="12" borderId="0" xfId="0" applyNumberFormat="1" applyFill="1" applyAlignment="1">
      <alignment horizontal="center" vertical="center"/>
    </xf>
    <xf numFmtId="4" fontId="0" fillId="10" borderId="0" xfId="0" applyNumberFormat="1" applyFill="1" applyAlignment="1">
      <alignment horizontal="center" vertical="center"/>
    </xf>
    <xf numFmtId="4" fontId="0" fillId="9" borderId="0" xfId="0" applyNumberFormat="1" applyFill="1" applyAlignment="1">
      <alignment horizontal="center" vertical="center"/>
    </xf>
    <xf numFmtId="4" fontId="0" fillId="8" borderId="0" xfId="0" applyNumberFormat="1" applyFill="1" applyAlignment="1">
      <alignment horizontal="center" vertical="center"/>
    </xf>
    <xf numFmtId="4" fontId="0" fillId="7" borderId="0" xfId="0" applyNumberFormat="1" applyFill="1" applyAlignment="1">
      <alignment horizontal="center" vertical="center"/>
    </xf>
    <xf numFmtId="4" fontId="0" fillId="5" borderId="0" xfId="0" applyNumberForma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4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49" fontId="2" fillId="3" borderId="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left" vertical="center"/>
    </xf>
    <xf numFmtId="0" fontId="0" fillId="4" borderId="6" xfId="0" applyFill="1" applyBorder="1" applyAlignment="1">
      <alignment horizontal="left" vertical="center" indent="1"/>
    </xf>
    <xf numFmtId="0" fontId="0" fillId="4" borderId="7" xfId="0" applyFill="1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/>
    <xf numFmtId="49" fontId="0" fillId="0" borderId="8" xfId="0" applyNumberFormat="1" applyBorder="1" applyAlignment="1">
      <alignment horizontal="left" vertical="center"/>
    </xf>
    <xf numFmtId="0" fontId="0" fillId="4" borderId="0" xfId="0" applyFill="1" applyAlignment="1">
      <alignment horizontal="left" vertical="center" indent="1"/>
    </xf>
    <xf numFmtId="0" fontId="0" fillId="4" borderId="9" xfId="0" applyFill="1" applyBorder="1" applyAlignment="1">
      <alignment horizontal="left" vertical="center" indent="1"/>
    </xf>
    <xf numFmtId="49" fontId="0" fillId="0" borderId="0" xfId="0" applyNumberFormat="1" applyAlignment="1">
      <alignment horizontal="left" vertical="center"/>
    </xf>
    <xf numFmtId="0" fontId="0" fillId="0" borderId="3" xfId="0" applyBorder="1" applyAlignment="1">
      <alignment horizontal="center" vertical="center"/>
    </xf>
    <xf numFmtId="49" fontId="0" fillId="0" borderId="10" xfId="0" applyNumberFormat="1" applyBorder="1" applyAlignment="1">
      <alignment horizontal="left" vertical="center"/>
    </xf>
    <xf numFmtId="0" fontId="0" fillId="4" borderId="11" xfId="0" applyFill="1" applyBorder="1" applyAlignment="1">
      <alignment horizontal="left" vertical="center" indent="1"/>
    </xf>
    <xf numFmtId="0" fontId="0" fillId="4" borderId="12" xfId="0" applyFill="1" applyBorder="1" applyAlignment="1">
      <alignment horizontal="left" vertical="center" indent="1"/>
    </xf>
    <xf numFmtId="0" fontId="0" fillId="5" borderId="0" xfId="0" applyFill="1" applyAlignment="1">
      <alignment horizontal="left" vertical="center" indent="1"/>
    </xf>
    <xf numFmtId="0" fontId="0" fillId="5" borderId="9" xfId="0" applyFill="1" applyBorder="1" applyAlignment="1">
      <alignment horizontal="left" vertical="center" indent="1"/>
    </xf>
    <xf numFmtId="3" fontId="0" fillId="5" borderId="0" xfId="0" applyNumberFormat="1" applyFill="1" applyAlignment="1">
      <alignment horizontal="left" vertical="center" indent="1"/>
    </xf>
    <xf numFmtId="0" fontId="0" fillId="6" borderId="0" xfId="0" applyFill="1" applyAlignment="1">
      <alignment horizontal="left" vertical="center" indent="1"/>
    </xf>
    <xf numFmtId="0" fontId="0" fillId="6" borderId="9" xfId="0" applyFill="1" applyBorder="1" applyAlignment="1">
      <alignment horizontal="left" vertical="center" indent="1"/>
    </xf>
    <xf numFmtId="4" fontId="0" fillId="6" borderId="0" xfId="0" applyNumberFormat="1" applyFill="1" applyAlignment="1">
      <alignment horizontal="center" vertical="center"/>
    </xf>
    <xf numFmtId="0" fontId="0" fillId="6" borderId="11" xfId="0" applyFill="1" applyBorder="1" applyAlignment="1">
      <alignment horizontal="left" vertical="center" indent="1"/>
    </xf>
    <xf numFmtId="0" fontId="0" fillId="6" borderId="12" xfId="0" applyFill="1" applyBorder="1" applyAlignment="1">
      <alignment horizontal="left" vertical="center" indent="1"/>
    </xf>
    <xf numFmtId="0" fontId="0" fillId="7" borderId="4" xfId="0" applyFill="1" applyBorder="1" applyAlignment="1">
      <alignment horizontal="left" vertical="center" indent="1"/>
    </xf>
    <xf numFmtId="0" fontId="0" fillId="7" borderId="13" xfId="0" applyFill="1" applyBorder="1" applyAlignment="1">
      <alignment horizontal="left" vertical="center" indent="1"/>
    </xf>
    <xf numFmtId="0" fontId="0" fillId="7" borderId="0" xfId="0" applyFill="1" applyAlignment="1">
      <alignment horizontal="left" vertical="center" indent="1"/>
    </xf>
    <xf numFmtId="0" fontId="0" fillId="7" borderId="9" xfId="0" applyFill="1" applyBorder="1" applyAlignment="1">
      <alignment horizontal="left" vertical="center" indent="1"/>
    </xf>
    <xf numFmtId="49" fontId="0" fillId="0" borderId="11" xfId="0" applyNumberFormat="1" applyBorder="1" applyAlignment="1">
      <alignment horizontal="left" vertical="center"/>
    </xf>
    <xf numFmtId="0" fontId="0" fillId="7" borderId="11" xfId="0" applyFill="1" applyBorder="1" applyAlignment="1">
      <alignment horizontal="left" vertical="center" indent="1"/>
    </xf>
    <xf numFmtId="0" fontId="0" fillId="7" borderId="12" xfId="0" applyFill="1" applyBorder="1" applyAlignment="1">
      <alignment horizontal="left" vertical="center" indent="1"/>
    </xf>
    <xf numFmtId="0" fontId="0" fillId="8" borderId="0" xfId="0" applyFill="1" applyAlignment="1">
      <alignment horizontal="left" vertical="center" indent="1"/>
    </xf>
    <xf numFmtId="0" fontId="0" fillId="8" borderId="9" xfId="0" applyFill="1" applyBorder="1" applyAlignment="1">
      <alignment horizontal="left" vertical="center" indent="1"/>
    </xf>
    <xf numFmtId="0" fontId="0" fillId="8" borderId="11" xfId="0" applyFill="1" applyBorder="1" applyAlignment="1">
      <alignment horizontal="left" vertical="center" indent="1"/>
    </xf>
    <xf numFmtId="0" fontId="0" fillId="8" borderId="12" xfId="0" applyFill="1" applyBorder="1" applyAlignment="1">
      <alignment horizontal="left" vertical="center" indent="1"/>
    </xf>
    <xf numFmtId="0" fontId="0" fillId="9" borderId="0" xfId="0" applyFill="1" applyAlignment="1">
      <alignment horizontal="left" vertical="center" indent="1"/>
    </xf>
    <xf numFmtId="0" fontId="0" fillId="9" borderId="9" xfId="0" applyFill="1" applyBorder="1" applyAlignment="1">
      <alignment horizontal="left" vertical="center" indent="1"/>
    </xf>
    <xf numFmtId="0" fontId="0" fillId="9" borderId="11" xfId="0" applyFill="1" applyBorder="1" applyAlignment="1">
      <alignment horizontal="left" vertical="center" indent="1"/>
    </xf>
    <xf numFmtId="0" fontId="0" fillId="9" borderId="12" xfId="0" applyFill="1" applyBorder="1" applyAlignment="1">
      <alignment horizontal="left" vertical="center" indent="1"/>
    </xf>
    <xf numFmtId="0" fontId="0" fillId="10" borderId="0" xfId="0" applyFill="1" applyAlignment="1">
      <alignment horizontal="left" vertical="center" indent="1"/>
    </xf>
    <xf numFmtId="0" fontId="0" fillId="10" borderId="9" xfId="0" applyFill="1" applyBorder="1" applyAlignment="1">
      <alignment horizontal="left" vertical="center" indent="1"/>
    </xf>
    <xf numFmtId="0" fontId="0" fillId="10" borderId="11" xfId="0" applyFill="1" applyBorder="1" applyAlignment="1">
      <alignment horizontal="left" vertical="center" indent="1"/>
    </xf>
    <xf numFmtId="0" fontId="0" fillId="10" borderId="12" xfId="0" applyFill="1" applyBorder="1" applyAlignment="1">
      <alignment horizontal="left" vertical="center" indent="1"/>
    </xf>
    <xf numFmtId="0" fontId="1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4" fontId="1" fillId="0" borderId="0" xfId="0" applyNumberFormat="1" applyFont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left" vertical="center"/>
    </xf>
    <xf numFmtId="0" fontId="0" fillId="10" borderId="14" xfId="0" applyFill="1" applyBorder="1" applyAlignment="1">
      <alignment horizontal="left" vertical="center" indent="1"/>
    </xf>
    <xf numFmtId="0" fontId="0" fillId="10" borderId="14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2" borderId="11" xfId="0" applyFill="1" applyBorder="1" applyAlignment="1">
      <alignment horizontal="left" vertical="center" indent="1"/>
    </xf>
    <xf numFmtId="0" fontId="0" fillId="2" borderId="2" xfId="0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/>
    </xf>
    <xf numFmtId="4" fontId="0" fillId="2" borderId="10" xfId="0" applyNumberFormat="1" applyFill="1" applyBorder="1" applyAlignment="1">
      <alignment horizontal="center" vertical="center"/>
    </xf>
    <xf numFmtId="0" fontId="0" fillId="12" borderId="0" xfId="0" applyFill="1" applyAlignment="1">
      <alignment horizontal="left" vertical="center" indent="1"/>
    </xf>
    <xf numFmtId="0" fontId="0" fillId="12" borderId="2" xfId="0" applyFill="1" applyBorder="1" applyAlignment="1">
      <alignment horizontal="left" vertical="center" indent="1"/>
    </xf>
    <xf numFmtId="0" fontId="0" fillId="0" borderId="13" xfId="0" applyBorder="1" applyAlignment="1">
      <alignment horizontal="left" vertical="center"/>
    </xf>
    <xf numFmtId="0" fontId="0" fillId="11" borderId="0" xfId="0" applyFill="1" applyAlignment="1">
      <alignment horizontal="left" vertical="center" indent="1"/>
    </xf>
    <xf numFmtId="0" fontId="0" fillId="11" borderId="2" xfId="0" applyFill="1" applyBorder="1" applyAlignment="1">
      <alignment horizontal="left" vertical="center" indent="1"/>
    </xf>
    <xf numFmtId="4" fontId="0" fillId="11" borderId="0" xfId="0" applyNumberFormat="1" applyFill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0" fillId="0" borderId="13" xfId="0" applyNumberFormat="1" applyBorder="1" applyAlignment="1">
      <alignment horizontal="left" vertical="center"/>
    </xf>
    <xf numFmtId="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 vertical="center"/>
    </xf>
    <xf numFmtId="0" fontId="1" fillId="2" borderId="14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13" borderId="0" xfId="0" applyFill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" fontId="0" fillId="3" borderId="0" xfId="0" applyNumberFormat="1" applyFill="1" applyAlignment="1">
      <alignment horizontal="center" vertical="center" wrapText="1"/>
    </xf>
    <xf numFmtId="49" fontId="0" fillId="0" borderId="6" xfId="0" applyNumberFormat="1" applyBorder="1" applyAlignment="1">
      <alignment horizontal="left" vertical="center"/>
    </xf>
    <xf numFmtId="0" fontId="0" fillId="4" borderId="4" xfId="0" applyFill="1" applyBorder="1" applyAlignment="1">
      <alignment horizontal="left" vertical="center" indent="1"/>
    </xf>
    <xf numFmtId="0" fontId="0" fillId="0" borderId="4" xfId="0" applyBorder="1" applyAlignment="1">
      <alignment horizontal="left" vertical="center"/>
    </xf>
    <xf numFmtId="0" fontId="0" fillId="4" borderId="13" xfId="0" applyFill="1" applyBorder="1" applyAlignment="1">
      <alignment horizontal="left" vertical="center" indent="1"/>
    </xf>
    <xf numFmtId="49" fontId="0" fillId="0" borderId="0" xfId="0" applyNumberFormat="1" applyAlignment="1">
      <alignment horizontal="center" vertical="center"/>
    </xf>
    <xf numFmtId="0" fontId="0" fillId="4" borderId="15" xfId="0" applyFill="1" applyBorder="1" applyAlignment="1">
      <alignment horizontal="left" vertical="center" indent="1"/>
    </xf>
    <xf numFmtId="0" fontId="0" fillId="5" borderId="13" xfId="0" applyFill="1" applyBorder="1" applyAlignment="1">
      <alignment horizontal="left" vertical="center" indent="1"/>
    </xf>
    <xf numFmtId="0" fontId="0" fillId="6" borderId="13" xfId="0" applyFill="1" applyBorder="1" applyAlignment="1">
      <alignment horizontal="left" vertical="center" indent="1"/>
    </xf>
    <xf numFmtId="0" fontId="0" fillId="6" borderId="15" xfId="0" applyFill="1" applyBorder="1" applyAlignment="1">
      <alignment horizontal="left" vertical="center" indent="1"/>
    </xf>
    <xf numFmtId="0" fontId="0" fillId="7" borderId="15" xfId="0" applyFill="1" applyBorder="1" applyAlignment="1">
      <alignment horizontal="left" vertical="center" indent="1"/>
    </xf>
    <xf numFmtId="0" fontId="0" fillId="8" borderId="13" xfId="0" applyFill="1" applyBorder="1" applyAlignment="1">
      <alignment horizontal="left" vertical="center" indent="1"/>
    </xf>
    <xf numFmtId="0" fontId="0" fillId="8" borderId="15" xfId="0" applyFill="1" applyBorder="1" applyAlignment="1">
      <alignment horizontal="left" vertical="center" indent="1"/>
    </xf>
    <xf numFmtId="0" fontId="0" fillId="9" borderId="13" xfId="0" applyFill="1" applyBorder="1" applyAlignment="1">
      <alignment horizontal="left" vertical="center" indent="1"/>
    </xf>
    <xf numFmtId="0" fontId="0" fillId="9" borderId="15" xfId="0" applyFill="1" applyBorder="1" applyAlignment="1">
      <alignment horizontal="left" vertical="center" indent="1"/>
    </xf>
    <xf numFmtId="0" fontId="0" fillId="10" borderId="13" xfId="0" applyFill="1" applyBorder="1" applyAlignment="1">
      <alignment horizontal="left" vertical="center" indent="1"/>
    </xf>
    <xf numFmtId="0" fontId="0" fillId="10" borderId="15" xfId="0" applyFill="1" applyBorder="1" applyAlignment="1">
      <alignment horizontal="left" vertical="center" indent="1"/>
    </xf>
    <xf numFmtId="0" fontId="0" fillId="0" borderId="9" xfId="0" applyBorder="1" applyAlignment="1">
      <alignment horizontal="left" vertical="center"/>
    </xf>
    <xf numFmtId="4" fontId="0" fillId="0" borderId="13" xfId="0" applyNumberFormat="1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4" fontId="1" fillId="0" borderId="0" xfId="0" applyNumberFormat="1" applyFont="1" applyAlignment="1">
      <alignment horizontal="right" vertical="center"/>
    </xf>
    <xf numFmtId="0" fontId="3" fillId="0" borderId="8" xfId="0" applyFont="1" applyBorder="1" applyAlignment="1">
      <alignment vertical="center"/>
    </xf>
    <xf numFmtId="49" fontId="2" fillId="3" borderId="3" xfId="0" applyNumberFormat="1" applyFont="1" applyFill="1" applyBorder="1" applyAlignment="1">
      <alignment horizontal="left" vertical="center" wrapText="1"/>
    </xf>
    <xf numFmtId="49" fontId="0" fillId="0" borderId="14" xfId="0" applyNumberFormat="1" applyBorder="1" applyAlignment="1">
      <alignment horizontal="left" vertical="center"/>
    </xf>
    <xf numFmtId="4" fontId="5" fillId="11" borderId="3" xfId="0" applyNumberFormat="1" applyFont="1" applyFill="1" applyBorder="1" applyAlignment="1">
      <alignment horizontal="right" vertical="center"/>
    </xf>
    <xf numFmtId="4" fontId="0" fillId="0" borderId="3" xfId="0" applyNumberFormat="1" applyBorder="1" applyAlignment="1">
      <alignment horizontal="right" vertical="center"/>
    </xf>
    <xf numFmtId="0" fontId="0" fillId="13" borderId="14" xfId="0" applyFill="1" applyBorder="1" applyAlignment="1">
      <alignment horizontal="center" vertical="center"/>
    </xf>
    <xf numFmtId="4" fontId="5" fillId="13" borderId="3" xfId="0" applyNumberFormat="1" applyFont="1" applyFill="1" applyBorder="1" applyAlignment="1">
      <alignment horizontal="right" vertical="center"/>
    </xf>
    <xf numFmtId="0" fontId="0" fillId="12" borderId="11" xfId="0" applyFill="1" applyBorder="1" applyAlignment="1">
      <alignment horizontal="left" vertical="center" indent="1"/>
    </xf>
    <xf numFmtId="0" fontId="0" fillId="0" borderId="8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13" borderId="0" xfId="0" applyFont="1" applyFill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4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0" fontId="7" fillId="0" borderId="0" xfId="0" applyFont="1"/>
    <xf numFmtId="0" fontId="7" fillId="3" borderId="17" xfId="0" applyFont="1" applyFill="1" applyBorder="1" applyAlignment="1">
      <alignment horizontal="center" vertical="center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wrapText="1"/>
    </xf>
    <xf numFmtId="0" fontId="7" fillId="0" borderId="20" xfId="0" applyFont="1" applyBorder="1" applyAlignment="1">
      <alignment horizontal="center"/>
    </xf>
    <xf numFmtId="0" fontId="7" fillId="0" borderId="21" xfId="0" applyFont="1" applyBorder="1"/>
    <xf numFmtId="0" fontId="7" fillId="0" borderId="22" xfId="0" applyFont="1" applyBorder="1" applyAlignment="1">
      <alignment horizontal="center"/>
    </xf>
    <xf numFmtId="0" fontId="7" fillId="0" borderId="23" xfId="0" applyFont="1" applyBorder="1"/>
    <xf numFmtId="0" fontId="7" fillId="0" borderId="24" xfId="0" applyFont="1" applyBorder="1" applyAlignment="1">
      <alignment horizontal="center"/>
    </xf>
    <xf numFmtId="49" fontId="9" fillId="3" borderId="25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49" fontId="9" fillId="0" borderId="27" xfId="0" applyNumberFormat="1" applyFont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 indent="1"/>
    </xf>
    <xf numFmtId="0" fontId="9" fillId="4" borderId="28" xfId="0" applyFont="1" applyFill="1" applyBorder="1" applyAlignment="1">
      <alignment horizontal="left" vertical="center" indent="1"/>
    </xf>
    <xf numFmtId="49" fontId="9" fillId="0" borderId="21" xfId="0" applyNumberFormat="1" applyFont="1" applyBorder="1" applyAlignment="1">
      <alignment horizontal="left" vertical="center"/>
    </xf>
    <xf numFmtId="0" fontId="9" fillId="4" borderId="0" xfId="0" applyFont="1" applyFill="1" applyAlignment="1">
      <alignment horizontal="left" vertical="center" indent="1"/>
    </xf>
    <xf numFmtId="0" fontId="9" fillId="4" borderId="22" xfId="0" applyFont="1" applyFill="1" applyBorder="1" applyAlignment="1">
      <alignment horizontal="left" vertical="center" indent="1"/>
    </xf>
    <xf numFmtId="49" fontId="9" fillId="0" borderId="29" xfId="0" applyNumberFormat="1" applyFont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indent="1"/>
    </xf>
    <xf numFmtId="0" fontId="9" fillId="4" borderId="30" xfId="0" applyFont="1" applyFill="1" applyBorder="1" applyAlignment="1">
      <alignment horizontal="left" vertical="center" indent="1"/>
    </xf>
    <xf numFmtId="0" fontId="9" fillId="5" borderId="0" xfId="0" applyFont="1" applyFill="1" applyAlignment="1">
      <alignment horizontal="left" vertical="center" indent="1"/>
    </xf>
    <xf numFmtId="0" fontId="9" fillId="5" borderId="22" xfId="0" applyFont="1" applyFill="1" applyBorder="1" applyAlignment="1">
      <alignment horizontal="left" vertical="center" indent="1"/>
    </xf>
    <xf numFmtId="0" fontId="9" fillId="6" borderId="0" xfId="0" applyFont="1" applyFill="1" applyAlignment="1">
      <alignment horizontal="left" vertical="center" indent="1"/>
    </xf>
    <xf numFmtId="0" fontId="9" fillId="6" borderId="22" xfId="0" applyFont="1" applyFill="1" applyBorder="1" applyAlignment="1">
      <alignment horizontal="left" vertical="center" indent="1"/>
    </xf>
    <xf numFmtId="0" fontId="9" fillId="6" borderId="11" xfId="0" applyFont="1" applyFill="1" applyBorder="1" applyAlignment="1">
      <alignment horizontal="left" vertical="center" indent="1"/>
    </xf>
    <xf numFmtId="0" fontId="9" fillId="6" borderId="30" xfId="0" applyFont="1" applyFill="1" applyBorder="1" applyAlignment="1">
      <alignment horizontal="left" vertical="center" indent="1"/>
    </xf>
    <xf numFmtId="0" fontId="9" fillId="7" borderId="4" xfId="0" applyFont="1" applyFill="1" applyBorder="1" applyAlignment="1">
      <alignment horizontal="left" vertical="center" indent="1"/>
    </xf>
    <xf numFmtId="0" fontId="9" fillId="7" borderId="31" xfId="0" applyFont="1" applyFill="1" applyBorder="1" applyAlignment="1">
      <alignment horizontal="left" vertical="center" indent="1"/>
    </xf>
    <xf numFmtId="0" fontId="9" fillId="7" borderId="0" xfId="0" applyFont="1" applyFill="1" applyAlignment="1">
      <alignment horizontal="left" vertical="center" indent="1"/>
    </xf>
    <xf numFmtId="0" fontId="9" fillId="7" borderId="22" xfId="0" applyFont="1" applyFill="1" applyBorder="1" applyAlignment="1">
      <alignment horizontal="left" vertical="center" indent="1"/>
    </xf>
    <xf numFmtId="0" fontId="9" fillId="7" borderId="11" xfId="0" applyFont="1" applyFill="1" applyBorder="1" applyAlignment="1">
      <alignment horizontal="left" vertical="center" indent="1"/>
    </xf>
    <xf numFmtId="0" fontId="9" fillId="7" borderId="30" xfId="0" applyFont="1" applyFill="1" applyBorder="1" applyAlignment="1">
      <alignment horizontal="left" vertical="center" indent="1"/>
    </xf>
    <xf numFmtId="0" fontId="9" fillId="8" borderId="0" xfId="0" applyFont="1" applyFill="1" applyAlignment="1">
      <alignment horizontal="left" vertical="center" indent="1"/>
    </xf>
    <xf numFmtId="0" fontId="9" fillId="8" borderId="22" xfId="0" applyFont="1" applyFill="1" applyBorder="1" applyAlignment="1">
      <alignment horizontal="left" vertical="center" indent="1"/>
    </xf>
    <xf numFmtId="0" fontId="9" fillId="8" borderId="11" xfId="0" applyFont="1" applyFill="1" applyBorder="1" applyAlignment="1">
      <alignment horizontal="left" vertical="center" indent="1"/>
    </xf>
    <xf numFmtId="0" fontId="9" fillId="8" borderId="30" xfId="0" applyFont="1" applyFill="1" applyBorder="1" applyAlignment="1">
      <alignment horizontal="left" vertical="center" indent="1"/>
    </xf>
    <xf numFmtId="0" fontId="9" fillId="9" borderId="0" xfId="0" applyFont="1" applyFill="1" applyAlignment="1">
      <alignment horizontal="left" vertical="center" indent="1"/>
    </xf>
    <xf numFmtId="0" fontId="9" fillId="9" borderId="22" xfId="0" applyFont="1" applyFill="1" applyBorder="1" applyAlignment="1">
      <alignment horizontal="left" vertical="center" indent="1"/>
    </xf>
    <xf numFmtId="0" fontId="9" fillId="9" borderId="11" xfId="0" applyFont="1" applyFill="1" applyBorder="1" applyAlignment="1">
      <alignment horizontal="left" vertical="center" indent="1"/>
    </xf>
    <xf numFmtId="0" fontId="9" fillId="9" borderId="30" xfId="0" applyFont="1" applyFill="1" applyBorder="1" applyAlignment="1">
      <alignment horizontal="left" vertical="center" indent="1"/>
    </xf>
    <xf numFmtId="0" fontId="9" fillId="10" borderId="0" xfId="0" applyFont="1" applyFill="1" applyAlignment="1">
      <alignment horizontal="left" vertical="center" indent="1"/>
    </xf>
    <xf numFmtId="0" fontId="9" fillId="10" borderId="22" xfId="0" applyFont="1" applyFill="1" applyBorder="1" applyAlignment="1">
      <alignment horizontal="left" vertical="center" indent="1"/>
    </xf>
    <xf numFmtId="49" fontId="9" fillId="0" borderId="23" xfId="0" applyNumberFormat="1" applyFont="1" applyBorder="1" applyAlignment="1">
      <alignment horizontal="left" vertical="center"/>
    </xf>
    <xf numFmtId="0" fontId="9" fillId="10" borderId="32" xfId="0" applyFont="1" applyFill="1" applyBorder="1" applyAlignment="1">
      <alignment horizontal="left" vertical="center" indent="1"/>
    </xf>
    <xf numFmtId="0" fontId="9" fillId="10" borderId="24" xfId="0" applyFont="1" applyFill="1" applyBorder="1" applyAlignment="1">
      <alignment horizontal="left" vertical="center" indent="1"/>
    </xf>
    <xf numFmtId="0" fontId="0" fillId="14" borderId="0" xfId="0" applyFill="1" applyAlignment="1">
      <alignment horizontal="left" vertical="center" indent="1"/>
    </xf>
    <xf numFmtId="0" fontId="0" fillId="14" borderId="13" xfId="0" applyFill="1" applyBorder="1" applyAlignment="1">
      <alignment horizontal="left" vertical="center" indent="1"/>
    </xf>
    <xf numFmtId="0" fontId="0" fillId="15" borderId="14" xfId="0" applyFill="1" applyBorder="1" applyAlignment="1">
      <alignment horizontal="left" vertical="center" indent="1"/>
    </xf>
    <xf numFmtId="0" fontId="0" fillId="15" borderId="2" xfId="0" applyFill="1" applyBorder="1" applyAlignment="1">
      <alignment horizontal="left" vertical="center" indent="1"/>
    </xf>
    <xf numFmtId="4" fontId="0" fillId="16" borderId="0" xfId="0" applyNumberFormat="1" applyFill="1" applyAlignment="1">
      <alignment horizontal="center" vertical="center"/>
    </xf>
    <xf numFmtId="0" fontId="0" fillId="12" borderId="0" xfId="0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4" fontId="0" fillId="4" borderId="0" xfId="0" applyNumberForma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5" borderId="0" xfId="0" applyNumberFormat="1" applyFill="1" applyAlignment="1">
      <alignment horizontal="center" vertical="center"/>
    </xf>
    <xf numFmtId="4" fontId="0" fillId="6" borderId="8" xfId="0" applyNumberFormat="1" applyFill="1" applyBorder="1" applyAlignment="1">
      <alignment horizontal="center" vertical="center"/>
    </xf>
    <xf numFmtId="4" fontId="0" fillId="7" borderId="0" xfId="0" applyNumberFormat="1" applyFill="1" applyAlignment="1">
      <alignment horizontal="center" vertical="center"/>
    </xf>
    <xf numFmtId="4" fontId="0" fillId="10" borderId="0" xfId="0" applyNumberFormat="1" applyFill="1" applyAlignment="1">
      <alignment horizontal="center" vertical="center"/>
    </xf>
    <xf numFmtId="4" fontId="0" fillId="12" borderId="0" xfId="0" applyNumberFormat="1" applyFill="1" applyAlignment="1">
      <alignment horizontal="center" vertical="center"/>
    </xf>
    <xf numFmtId="4" fontId="0" fillId="2" borderId="8" xfId="0" applyNumberForma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4" fontId="0" fillId="8" borderId="0" xfId="0" applyNumberFormat="1" applyFill="1" applyAlignment="1">
      <alignment horizontal="center" vertical="center"/>
    </xf>
    <xf numFmtId="4" fontId="0" fillId="9" borderId="0" xfId="0" applyNumberFormat="1" applyFill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EBF1DE"/>
      <rgbColor rgb="FFDBEEF4"/>
      <rgbColor rgb="FF660066"/>
      <rgbColor rgb="FFFF8080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6E0EC"/>
      <rgbColor rgb="FFFDEADA"/>
      <rgbColor rgb="FFD9D9D9"/>
      <rgbColor rgb="FFFF99CC"/>
      <rgbColor rgb="FFCC99FF"/>
      <rgbColor rgb="FFF2DCDB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J282"/>
  <sheetViews>
    <sheetView tabSelected="1" topLeftCell="A135" zoomScaleNormal="100" workbookViewId="0">
      <selection activeCell="G161" sqref="G161"/>
    </sheetView>
  </sheetViews>
  <sheetFormatPr baseColWidth="10" defaultColWidth="10.5703125" defaultRowHeight="15" x14ac:dyDescent="0.25"/>
  <cols>
    <col min="1" max="1" width="19.140625" style="10" customWidth="1"/>
    <col min="2" max="2" width="58.42578125" style="11" customWidth="1"/>
    <col min="3" max="3" width="12.42578125" style="11" hidden="1" customWidth="1"/>
    <col min="4" max="5" width="7.7109375" style="11" hidden="1" customWidth="1"/>
    <col min="6" max="6" width="11.140625" style="11" customWidth="1"/>
    <col min="7" max="7" width="14.85546875" style="11" customWidth="1"/>
    <col min="8" max="8" width="24.140625" style="7" customWidth="1"/>
    <col min="9" max="10" width="11.42578125" style="12" hidden="1" customWidth="1"/>
  </cols>
  <sheetData>
    <row r="1" spans="1:10" ht="21.75" customHeight="1" x14ac:dyDescent="0.25">
      <c r="A1" s="191" t="s">
        <v>0</v>
      </c>
      <c r="B1" s="191"/>
      <c r="C1" s="191"/>
      <c r="D1" s="191"/>
      <c r="E1" s="191"/>
      <c r="F1" s="191"/>
      <c r="G1" s="191"/>
      <c r="H1" s="191"/>
      <c r="I1" s="191"/>
      <c r="J1" s="191"/>
    </row>
    <row r="2" spans="1:10" ht="24" customHeight="1" x14ac:dyDescent="0.25">
      <c r="A2" s="13" t="s">
        <v>1</v>
      </c>
      <c r="B2" s="14" t="s">
        <v>2</v>
      </c>
      <c r="C2" s="15" t="s">
        <v>3</v>
      </c>
      <c r="D2" s="15" t="s">
        <v>4</v>
      </c>
      <c r="E2" s="15" t="s">
        <v>5</v>
      </c>
      <c r="F2" s="16" t="s">
        <v>6</v>
      </c>
      <c r="G2" s="17" t="s">
        <v>7</v>
      </c>
      <c r="H2" s="16" t="s">
        <v>8</v>
      </c>
      <c r="I2" s="18" t="s">
        <v>9</v>
      </c>
      <c r="J2" s="18" t="s">
        <v>10</v>
      </c>
    </row>
    <row r="3" spans="1:10" x14ac:dyDescent="0.25">
      <c r="A3" s="19" t="s">
        <v>11</v>
      </c>
      <c r="B3" s="20" t="s">
        <v>12</v>
      </c>
      <c r="C3" s="21" t="s">
        <v>13</v>
      </c>
      <c r="D3" s="22">
        <v>36</v>
      </c>
      <c r="E3" s="22">
        <v>30</v>
      </c>
      <c r="F3" s="23" t="s">
        <v>14</v>
      </c>
      <c r="G3" s="23" t="s">
        <v>15</v>
      </c>
      <c r="H3" s="8" t="s">
        <v>16</v>
      </c>
      <c r="I3" s="24">
        <v>5.0999999999999996</v>
      </c>
      <c r="J3" s="24"/>
    </row>
    <row r="4" spans="1:10" hidden="1" x14ac:dyDescent="0.25">
      <c r="A4" s="25" t="s">
        <v>17</v>
      </c>
      <c r="B4" s="26" t="s">
        <v>18</v>
      </c>
      <c r="C4" s="27"/>
      <c r="D4" s="22"/>
      <c r="E4" s="22"/>
      <c r="F4" s="23" t="s">
        <v>19</v>
      </c>
      <c r="G4" s="23"/>
      <c r="I4" s="24"/>
      <c r="J4" s="24"/>
    </row>
    <row r="5" spans="1:10" x14ac:dyDescent="0.25">
      <c r="A5" s="25" t="s">
        <v>20</v>
      </c>
      <c r="B5" s="26" t="s">
        <v>21</v>
      </c>
      <c r="C5" s="27" t="s">
        <v>22</v>
      </c>
      <c r="D5" s="22">
        <v>21</v>
      </c>
      <c r="E5" s="22">
        <v>15</v>
      </c>
      <c r="F5" s="23" t="s">
        <v>23</v>
      </c>
      <c r="G5" s="23" t="s">
        <v>24</v>
      </c>
      <c r="I5" s="24">
        <v>8.4499999999999993</v>
      </c>
      <c r="J5" s="24"/>
    </row>
    <row r="6" spans="1:10" x14ac:dyDescent="0.25">
      <c r="A6" s="25" t="s">
        <v>25</v>
      </c>
      <c r="B6" s="26" t="s">
        <v>26</v>
      </c>
      <c r="C6" s="27" t="s">
        <v>27</v>
      </c>
      <c r="D6" s="22">
        <v>27</v>
      </c>
      <c r="E6" s="22">
        <v>21</v>
      </c>
      <c r="F6" s="23" t="s">
        <v>28</v>
      </c>
      <c r="G6" s="23" t="s">
        <v>29</v>
      </c>
      <c r="I6" s="24">
        <v>6.4</v>
      </c>
      <c r="J6" s="24"/>
    </row>
    <row r="7" spans="1:10" x14ac:dyDescent="0.25">
      <c r="A7" s="25" t="s">
        <v>30</v>
      </c>
      <c r="B7" s="26" t="s">
        <v>31</v>
      </c>
      <c r="C7" s="27" t="s">
        <v>27</v>
      </c>
      <c r="D7" s="22">
        <v>27</v>
      </c>
      <c r="E7" s="22">
        <v>21</v>
      </c>
      <c r="F7" s="23" t="s">
        <v>32</v>
      </c>
      <c r="G7" s="23" t="s">
        <v>29</v>
      </c>
      <c r="I7" s="24">
        <v>6.4</v>
      </c>
      <c r="J7" s="24"/>
    </row>
    <row r="8" spans="1:10" x14ac:dyDescent="0.25">
      <c r="A8" s="25" t="s">
        <v>33</v>
      </c>
      <c r="B8" s="26" t="s">
        <v>34</v>
      </c>
      <c r="C8" s="27" t="s">
        <v>22</v>
      </c>
      <c r="D8" s="22">
        <v>21</v>
      </c>
      <c r="E8" s="22">
        <v>15</v>
      </c>
      <c r="F8" s="23" t="s">
        <v>35</v>
      </c>
      <c r="G8" s="23" t="s">
        <v>24</v>
      </c>
      <c r="I8" s="24">
        <v>7.5</v>
      </c>
      <c r="J8" s="24"/>
    </row>
    <row r="9" spans="1:10" x14ac:dyDescent="0.25">
      <c r="A9" s="30" t="s">
        <v>790</v>
      </c>
      <c r="B9" s="26" t="s">
        <v>791</v>
      </c>
      <c r="C9" s="27"/>
      <c r="D9" s="22"/>
      <c r="E9" s="22"/>
      <c r="F9" s="23" t="s">
        <v>792</v>
      </c>
      <c r="G9" s="23" t="s">
        <v>261</v>
      </c>
      <c r="I9" s="24"/>
      <c r="J9" s="24"/>
    </row>
    <row r="10" spans="1:10" x14ac:dyDescent="0.25">
      <c r="A10" s="25" t="s">
        <v>687</v>
      </c>
      <c r="B10" s="26" t="s">
        <v>37</v>
      </c>
      <c r="C10" s="27" t="s">
        <v>22</v>
      </c>
      <c r="D10" s="22">
        <v>21</v>
      </c>
      <c r="E10" s="22">
        <v>15</v>
      </c>
      <c r="F10" s="23" t="s">
        <v>38</v>
      </c>
      <c r="G10" s="23" t="s">
        <v>24</v>
      </c>
      <c r="I10" s="24">
        <v>7.95</v>
      </c>
      <c r="J10" s="24"/>
    </row>
    <row r="11" spans="1:10" x14ac:dyDescent="0.25">
      <c r="A11" s="25" t="s">
        <v>39</v>
      </c>
      <c r="B11" s="26" t="s">
        <v>40</v>
      </c>
      <c r="C11" s="27" t="s">
        <v>41</v>
      </c>
      <c r="D11" s="22">
        <v>24</v>
      </c>
      <c r="E11" s="22">
        <v>21</v>
      </c>
      <c r="F11" s="23" t="s">
        <v>42</v>
      </c>
      <c r="G11" s="23" t="s">
        <v>29</v>
      </c>
      <c r="I11" s="24">
        <v>7.65</v>
      </c>
      <c r="J11" s="24"/>
    </row>
    <row r="12" spans="1:10" x14ac:dyDescent="0.25">
      <c r="A12" s="25" t="s">
        <v>43</v>
      </c>
      <c r="B12" s="26" t="s">
        <v>44</v>
      </c>
      <c r="C12" s="27" t="s">
        <v>45</v>
      </c>
      <c r="D12" s="22">
        <v>66</v>
      </c>
      <c r="E12" s="22">
        <v>66</v>
      </c>
      <c r="F12" s="23" t="s">
        <v>46</v>
      </c>
      <c r="G12" s="23" t="s">
        <v>47</v>
      </c>
      <c r="I12" s="24">
        <v>5</v>
      </c>
      <c r="J12" s="24"/>
    </row>
    <row r="13" spans="1:10" x14ac:dyDescent="0.25">
      <c r="A13" s="25" t="s">
        <v>48</v>
      </c>
      <c r="B13" s="26" t="s">
        <v>49</v>
      </c>
      <c r="C13" s="27" t="s">
        <v>45</v>
      </c>
      <c r="D13" s="22"/>
      <c r="E13" s="22"/>
      <c r="F13" s="23" t="s">
        <v>693</v>
      </c>
      <c r="G13" s="23" t="s">
        <v>122</v>
      </c>
      <c r="I13" s="24"/>
      <c r="J13" s="24"/>
    </row>
    <row r="14" spans="1:10" x14ac:dyDescent="0.25">
      <c r="A14" s="25" t="s">
        <v>50</v>
      </c>
      <c r="B14" s="26" t="s">
        <v>51</v>
      </c>
      <c r="C14" s="27" t="s">
        <v>41</v>
      </c>
      <c r="D14" s="22">
        <v>21</v>
      </c>
      <c r="E14" s="22">
        <v>18</v>
      </c>
      <c r="F14" s="23" t="s">
        <v>52</v>
      </c>
      <c r="G14" s="23" t="s">
        <v>29</v>
      </c>
      <c r="I14" s="24">
        <v>6.8</v>
      </c>
      <c r="J14" s="24"/>
    </row>
    <row r="15" spans="1:10" s="11" customFormat="1" x14ac:dyDescent="0.25">
      <c r="A15" s="28" t="s">
        <v>53</v>
      </c>
      <c r="B15" s="26" t="s">
        <v>54</v>
      </c>
      <c r="C15" s="27"/>
      <c r="D15" s="29"/>
      <c r="E15" s="22"/>
      <c r="F15" s="23" t="s">
        <v>55</v>
      </c>
      <c r="G15" s="23"/>
      <c r="H15" s="7"/>
      <c r="I15" s="24"/>
      <c r="J15" s="24"/>
    </row>
    <row r="16" spans="1:10" s="11" customFormat="1" x14ac:dyDescent="0.25">
      <c r="A16" s="30" t="s">
        <v>56</v>
      </c>
      <c r="B16" s="31" t="s">
        <v>57</v>
      </c>
      <c r="C16" s="32"/>
      <c r="D16" s="29"/>
      <c r="E16" s="22"/>
      <c r="F16" s="23" t="s">
        <v>694</v>
      </c>
      <c r="G16" s="23"/>
      <c r="H16" s="7"/>
      <c r="I16" s="24"/>
      <c r="J16" s="24"/>
    </row>
    <row r="17" spans="1:10" s="11" customFormat="1" x14ac:dyDescent="0.25">
      <c r="A17" s="25" t="s">
        <v>58</v>
      </c>
      <c r="B17" s="33" t="s">
        <v>59</v>
      </c>
      <c r="C17" s="34" t="s">
        <v>60</v>
      </c>
      <c r="D17" s="22">
        <v>30</v>
      </c>
      <c r="E17" s="22">
        <v>20</v>
      </c>
      <c r="F17" s="23" t="s">
        <v>61</v>
      </c>
      <c r="G17" s="23" t="s">
        <v>62</v>
      </c>
      <c r="H17" s="6" t="s">
        <v>63</v>
      </c>
      <c r="I17" s="24">
        <v>5.4</v>
      </c>
      <c r="J17" s="24"/>
    </row>
    <row r="18" spans="1:10" hidden="1" x14ac:dyDescent="0.25">
      <c r="A18" s="25" t="s">
        <v>64</v>
      </c>
      <c r="B18" s="33" t="s">
        <v>65</v>
      </c>
      <c r="C18" s="34" t="s">
        <v>66</v>
      </c>
      <c r="D18" s="22"/>
      <c r="E18" s="22"/>
      <c r="F18" s="23" t="s">
        <v>67</v>
      </c>
      <c r="G18" s="23" t="s">
        <v>29</v>
      </c>
      <c r="I18" s="24"/>
      <c r="J18" s="24"/>
    </row>
    <row r="19" spans="1:10" hidden="1" x14ac:dyDescent="0.25">
      <c r="A19" s="25" t="s">
        <v>68</v>
      </c>
      <c r="B19" s="33" t="s">
        <v>69</v>
      </c>
      <c r="C19" s="34" t="s">
        <v>66</v>
      </c>
      <c r="D19" s="22"/>
      <c r="E19" s="22"/>
      <c r="F19" s="23" t="s">
        <v>70</v>
      </c>
      <c r="G19" s="23" t="s">
        <v>29</v>
      </c>
      <c r="I19" s="24"/>
      <c r="J19" s="24"/>
    </row>
    <row r="20" spans="1:10" x14ac:dyDescent="0.25">
      <c r="A20" s="25" t="s">
        <v>71</v>
      </c>
      <c r="B20" s="33" t="s">
        <v>72</v>
      </c>
      <c r="C20" s="34" t="s">
        <v>73</v>
      </c>
      <c r="D20" s="22">
        <v>21</v>
      </c>
      <c r="E20" s="22">
        <v>15</v>
      </c>
      <c r="F20" s="23" t="s">
        <v>74</v>
      </c>
      <c r="G20" s="23" t="s">
        <v>29</v>
      </c>
      <c r="I20" s="24">
        <v>6.3</v>
      </c>
      <c r="J20" s="24"/>
    </row>
    <row r="21" spans="1:10" x14ac:dyDescent="0.25">
      <c r="A21" s="25" t="s">
        <v>75</v>
      </c>
      <c r="B21" s="33" t="s">
        <v>76</v>
      </c>
      <c r="C21" s="34"/>
      <c r="D21" s="22"/>
      <c r="E21" s="22"/>
      <c r="F21" s="23" t="s">
        <v>77</v>
      </c>
      <c r="G21" s="23"/>
      <c r="I21" s="24"/>
      <c r="J21" s="24"/>
    </row>
    <row r="22" spans="1:10" x14ac:dyDescent="0.25">
      <c r="A22" s="25" t="s">
        <v>78</v>
      </c>
      <c r="B22" s="35" t="s">
        <v>79</v>
      </c>
      <c r="C22" s="34" t="s">
        <v>80</v>
      </c>
      <c r="D22" s="22"/>
      <c r="E22" s="22"/>
      <c r="F22" s="23" t="s">
        <v>692</v>
      </c>
      <c r="G22" s="23" t="s">
        <v>15</v>
      </c>
      <c r="I22" s="24"/>
      <c r="J22" s="24"/>
    </row>
    <row r="23" spans="1:10" x14ac:dyDescent="0.25">
      <c r="A23" s="25" t="s">
        <v>81</v>
      </c>
      <c r="B23" s="36" t="s">
        <v>82</v>
      </c>
      <c r="C23" s="37"/>
      <c r="D23" s="22">
        <v>24</v>
      </c>
      <c r="E23" s="22">
        <v>21</v>
      </c>
      <c r="F23" s="23" t="s">
        <v>83</v>
      </c>
      <c r="G23" s="23"/>
      <c r="I23" s="24"/>
      <c r="J23" s="24"/>
    </row>
    <row r="24" spans="1:10" x14ac:dyDescent="0.25">
      <c r="A24" s="25" t="s">
        <v>84</v>
      </c>
      <c r="B24" s="36" t="s">
        <v>85</v>
      </c>
      <c r="C24" s="37"/>
      <c r="D24" s="22">
        <v>36</v>
      </c>
      <c r="E24" s="22">
        <v>30</v>
      </c>
      <c r="F24" s="23" t="s">
        <v>86</v>
      </c>
      <c r="G24" s="23"/>
      <c r="I24" s="24"/>
      <c r="J24" s="24"/>
    </row>
    <row r="25" spans="1:10" x14ac:dyDescent="0.25">
      <c r="A25" s="25" t="s">
        <v>87</v>
      </c>
      <c r="B25" s="36" t="s">
        <v>88</v>
      </c>
      <c r="C25" s="37"/>
      <c r="D25" s="22"/>
      <c r="E25" s="22"/>
      <c r="F25" s="23" t="s">
        <v>89</v>
      </c>
      <c r="G25" s="23"/>
      <c r="I25" s="24"/>
      <c r="J25" s="24"/>
    </row>
    <row r="26" spans="1:10" x14ac:dyDescent="0.25">
      <c r="A26" s="25" t="s">
        <v>90</v>
      </c>
      <c r="B26" s="36" t="s">
        <v>91</v>
      </c>
      <c r="C26" s="37" t="s">
        <v>92</v>
      </c>
      <c r="D26" s="22">
        <v>24</v>
      </c>
      <c r="E26" s="22">
        <v>24</v>
      </c>
      <c r="F26" s="23" t="s">
        <v>93</v>
      </c>
      <c r="G26" s="23" t="s">
        <v>15</v>
      </c>
      <c r="H26" s="38" t="s">
        <v>94</v>
      </c>
      <c r="I26" s="24"/>
      <c r="J26" s="24"/>
    </row>
    <row r="27" spans="1:10" x14ac:dyDescent="0.25">
      <c r="A27" s="25" t="s">
        <v>95</v>
      </c>
      <c r="B27" s="36" t="s">
        <v>96</v>
      </c>
      <c r="C27" s="37"/>
      <c r="D27" s="22"/>
      <c r="E27" s="22"/>
      <c r="F27" s="23" t="s">
        <v>97</v>
      </c>
      <c r="G27" s="23" t="s">
        <v>15</v>
      </c>
      <c r="I27" s="24"/>
      <c r="J27" s="24"/>
    </row>
    <row r="28" spans="1:10" x14ac:dyDescent="0.25">
      <c r="A28" s="25" t="s">
        <v>98</v>
      </c>
      <c r="B28" s="36" t="s">
        <v>99</v>
      </c>
      <c r="C28" s="37"/>
      <c r="D28" s="22"/>
      <c r="E28" s="22"/>
      <c r="F28" s="23" t="s">
        <v>100</v>
      </c>
      <c r="G28" s="23" t="s">
        <v>15</v>
      </c>
      <c r="I28" s="24"/>
      <c r="J28" s="24"/>
    </row>
    <row r="29" spans="1:10" x14ac:dyDescent="0.25">
      <c r="A29" s="30" t="s">
        <v>101</v>
      </c>
      <c r="B29" s="39" t="s">
        <v>102</v>
      </c>
      <c r="C29" s="40" t="s">
        <v>92</v>
      </c>
      <c r="D29" s="22">
        <v>24</v>
      </c>
      <c r="E29" s="22">
        <v>24</v>
      </c>
      <c r="F29" s="23" t="s">
        <v>103</v>
      </c>
      <c r="G29" s="23" t="s">
        <v>15</v>
      </c>
      <c r="I29" s="24"/>
      <c r="J29" s="24"/>
    </row>
    <row r="30" spans="1:10" x14ac:dyDescent="0.25">
      <c r="A30" s="70" t="s">
        <v>689</v>
      </c>
      <c r="B30" s="187" t="s">
        <v>690</v>
      </c>
      <c r="C30" s="188"/>
      <c r="D30" s="22"/>
      <c r="E30" s="22"/>
      <c r="F30" s="23" t="s">
        <v>691</v>
      </c>
      <c r="G30" s="23"/>
      <c r="H30" s="189" t="s">
        <v>691</v>
      </c>
      <c r="I30" s="24"/>
      <c r="J30" s="24"/>
    </row>
    <row r="31" spans="1:10" x14ac:dyDescent="0.25">
      <c r="A31" s="25" t="s">
        <v>104</v>
      </c>
      <c r="B31" s="26" t="s">
        <v>105</v>
      </c>
      <c r="C31" s="27" t="s">
        <v>27</v>
      </c>
      <c r="D31" s="22">
        <v>27</v>
      </c>
      <c r="E31" s="22">
        <v>21</v>
      </c>
      <c r="F31" s="23" t="s">
        <v>106</v>
      </c>
      <c r="G31" s="23" t="s">
        <v>29</v>
      </c>
      <c r="H31" s="8" t="s">
        <v>16</v>
      </c>
      <c r="I31" s="24">
        <v>7.5</v>
      </c>
      <c r="J31" s="24"/>
    </row>
    <row r="32" spans="1:10" x14ac:dyDescent="0.25">
      <c r="A32" s="25" t="s">
        <v>107</v>
      </c>
      <c r="B32" s="26" t="s">
        <v>108</v>
      </c>
      <c r="C32" s="32" t="s">
        <v>27</v>
      </c>
      <c r="D32" s="22">
        <v>27</v>
      </c>
      <c r="E32" s="22">
        <v>21</v>
      </c>
      <c r="F32" s="23" t="s">
        <v>695</v>
      </c>
      <c r="G32" s="23" t="s">
        <v>29</v>
      </c>
      <c r="I32" s="24">
        <v>8</v>
      </c>
      <c r="J32" s="24"/>
    </row>
    <row r="33" spans="1:10" x14ac:dyDescent="0.25">
      <c r="A33" s="30" t="s">
        <v>110</v>
      </c>
      <c r="B33" s="31" t="s">
        <v>111</v>
      </c>
      <c r="C33" s="32"/>
      <c r="D33" s="22"/>
      <c r="E33" s="22"/>
      <c r="F33" s="23" t="s">
        <v>112</v>
      </c>
      <c r="G33" s="23"/>
      <c r="I33" s="24"/>
      <c r="J33" s="24"/>
    </row>
    <row r="34" spans="1:10" x14ac:dyDescent="0.25">
      <c r="A34" s="25" t="s">
        <v>614</v>
      </c>
      <c r="B34" s="185" t="s">
        <v>688</v>
      </c>
      <c r="C34" s="186"/>
      <c r="D34" s="22"/>
      <c r="E34" s="22"/>
      <c r="F34" s="23" t="s">
        <v>696</v>
      </c>
      <c r="G34" s="23"/>
      <c r="I34" s="24"/>
      <c r="J34" s="24"/>
    </row>
    <row r="35" spans="1:10" x14ac:dyDescent="0.25">
      <c r="A35" s="25" t="s">
        <v>113</v>
      </c>
      <c r="B35" s="41" t="s">
        <v>114</v>
      </c>
      <c r="C35" s="42" t="s">
        <v>115</v>
      </c>
      <c r="D35" s="22"/>
      <c r="E35" s="22"/>
      <c r="F35" s="23" t="s">
        <v>697</v>
      </c>
      <c r="G35" s="23" t="s">
        <v>812</v>
      </c>
      <c r="H35" s="5" t="s">
        <v>117</v>
      </c>
      <c r="I35" s="24"/>
      <c r="J35" s="24"/>
    </row>
    <row r="36" spans="1:10" x14ac:dyDescent="0.25">
      <c r="A36" s="25" t="s">
        <v>118</v>
      </c>
      <c r="B36" s="43" t="s">
        <v>119</v>
      </c>
      <c r="C36" s="44"/>
      <c r="D36" s="22"/>
      <c r="E36" s="22"/>
      <c r="F36" s="23" t="s">
        <v>698</v>
      </c>
      <c r="G36" s="23" t="s">
        <v>47</v>
      </c>
      <c r="I36" s="24"/>
      <c r="J36" s="24"/>
    </row>
    <row r="37" spans="1:10" x14ac:dyDescent="0.25">
      <c r="A37" s="25" t="s">
        <v>120</v>
      </c>
      <c r="B37" s="43" t="s">
        <v>121</v>
      </c>
      <c r="C37" s="44"/>
      <c r="D37" s="22"/>
      <c r="E37" s="22"/>
      <c r="F37" s="23" t="s">
        <v>701</v>
      </c>
      <c r="G37" s="23" t="s">
        <v>122</v>
      </c>
      <c r="I37" s="24"/>
      <c r="J37" s="24"/>
    </row>
    <row r="38" spans="1:10" x14ac:dyDescent="0.25">
      <c r="A38" s="25" t="s">
        <v>123</v>
      </c>
      <c r="B38" s="43" t="s">
        <v>124</v>
      </c>
      <c r="C38" s="44"/>
      <c r="D38" s="22"/>
      <c r="E38" s="22"/>
      <c r="F38" s="23" t="s">
        <v>702</v>
      </c>
      <c r="G38" s="23" t="s">
        <v>122</v>
      </c>
      <c r="I38" s="24"/>
      <c r="J38" s="24"/>
    </row>
    <row r="39" spans="1:10" x14ac:dyDescent="0.25">
      <c r="A39" s="28" t="s">
        <v>125</v>
      </c>
      <c r="B39" s="43" t="s">
        <v>126</v>
      </c>
      <c r="C39" s="44" t="s">
        <v>127</v>
      </c>
      <c r="D39" s="29">
        <v>51</v>
      </c>
      <c r="E39" s="22">
        <v>51</v>
      </c>
      <c r="F39" s="23" t="s">
        <v>699</v>
      </c>
      <c r="G39" s="23" t="s">
        <v>129</v>
      </c>
      <c r="I39" s="24">
        <v>4.5</v>
      </c>
      <c r="J39" s="24"/>
    </row>
    <row r="40" spans="1:10" x14ac:dyDescent="0.25">
      <c r="A40" s="28" t="s">
        <v>130</v>
      </c>
      <c r="B40" s="43" t="s">
        <v>131</v>
      </c>
      <c r="C40" s="44" t="s">
        <v>132</v>
      </c>
      <c r="D40" s="22"/>
      <c r="E40" s="22"/>
      <c r="F40" s="23" t="s">
        <v>700</v>
      </c>
      <c r="G40" s="23" t="s">
        <v>15</v>
      </c>
      <c r="I40" s="24"/>
      <c r="J40" s="24"/>
    </row>
    <row r="41" spans="1:10" s="11" customFormat="1" x14ac:dyDescent="0.25">
      <c r="A41" s="45" t="s">
        <v>133</v>
      </c>
      <c r="B41" s="46" t="s">
        <v>134</v>
      </c>
      <c r="C41" s="47"/>
      <c r="D41" s="22"/>
      <c r="E41" s="22"/>
      <c r="F41" s="29" t="s">
        <v>703</v>
      </c>
      <c r="G41" s="23"/>
      <c r="H41" s="7"/>
      <c r="I41" s="24"/>
      <c r="J41" s="24"/>
    </row>
    <row r="42" spans="1:10" x14ac:dyDescent="0.25">
      <c r="A42" s="25" t="s">
        <v>135</v>
      </c>
      <c r="B42" s="48" t="s">
        <v>136</v>
      </c>
      <c r="C42" s="49"/>
      <c r="D42" s="22"/>
      <c r="E42" s="22"/>
      <c r="F42" s="23"/>
      <c r="G42" s="23"/>
      <c r="H42" s="4" t="s">
        <v>137</v>
      </c>
      <c r="I42" s="24"/>
      <c r="J42" s="24"/>
    </row>
    <row r="43" spans="1:10" x14ac:dyDescent="0.25">
      <c r="A43" s="25" t="s">
        <v>138</v>
      </c>
      <c r="B43" s="48" t="s">
        <v>139</v>
      </c>
      <c r="C43" s="49"/>
      <c r="D43" s="22"/>
      <c r="E43" s="22"/>
      <c r="F43" s="23"/>
      <c r="G43" s="23"/>
      <c r="I43" s="24"/>
      <c r="J43" s="24"/>
    </row>
    <row r="44" spans="1:10" x14ac:dyDescent="0.25">
      <c r="A44" s="30" t="s">
        <v>140</v>
      </c>
      <c r="B44" s="50" t="s">
        <v>141</v>
      </c>
      <c r="C44" s="51"/>
      <c r="D44" s="22"/>
      <c r="E44" s="22"/>
      <c r="F44" s="23"/>
      <c r="G44" s="23"/>
      <c r="I44" s="24"/>
      <c r="J44" s="24"/>
    </row>
    <row r="45" spans="1:10" x14ac:dyDescent="0.25">
      <c r="A45" s="25" t="s">
        <v>142</v>
      </c>
      <c r="B45" s="48" t="s">
        <v>143</v>
      </c>
      <c r="C45" s="49" t="s">
        <v>144</v>
      </c>
      <c r="D45" s="22"/>
      <c r="E45" s="22"/>
      <c r="F45" s="23" t="s">
        <v>704</v>
      </c>
      <c r="G45" s="23" t="s">
        <v>129</v>
      </c>
      <c r="I45" s="24"/>
      <c r="J45" s="24"/>
    </row>
    <row r="46" spans="1:10" x14ac:dyDescent="0.25">
      <c r="A46" s="25" t="s">
        <v>145</v>
      </c>
      <c r="B46" s="48" t="s">
        <v>146</v>
      </c>
      <c r="C46" s="49" t="s">
        <v>147</v>
      </c>
      <c r="D46" s="22"/>
      <c r="E46" s="22"/>
      <c r="F46" s="23" t="s">
        <v>705</v>
      </c>
      <c r="G46" s="23" t="s">
        <v>24</v>
      </c>
      <c r="I46" s="24"/>
      <c r="J46" s="24"/>
    </row>
    <row r="47" spans="1:10" x14ac:dyDescent="0.25">
      <c r="A47" s="25" t="s">
        <v>807</v>
      </c>
      <c r="B47" s="48" t="s">
        <v>809</v>
      </c>
      <c r="C47" s="49"/>
      <c r="D47" s="22"/>
      <c r="E47" s="22"/>
      <c r="F47" s="23" t="s">
        <v>808</v>
      </c>
      <c r="G47" s="23" t="s">
        <v>129</v>
      </c>
      <c r="I47" s="24"/>
      <c r="J47" s="24"/>
    </row>
    <row r="48" spans="1:10" x14ac:dyDescent="0.25">
      <c r="A48" s="25" t="s">
        <v>810</v>
      </c>
      <c r="B48" s="48" t="s">
        <v>809</v>
      </c>
      <c r="C48" s="49"/>
      <c r="D48" s="22"/>
      <c r="E48" s="22"/>
      <c r="F48" s="23" t="s">
        <v>811</v>
      </c>
      <c r="G48" s="23" t="s">
        <v>24</v>
      </c>
    </row>
    <row r="49" spans="1:10" x14ac:dyDescent="0.25">
      <c r="A49" s="25" t="s">
        <v>148</v>
      </c>
      <c r="B49" s="48" t="s">
        <v>149</v>
      </c>
      <c r="C49" s="49" t="s">
        <v>150</v>
      </c>
      <c r="D49" s="22"/>
      <c r="E49" s="22"/>
      <c r="F49" s="23" t="s">
        <v>706</v>
      </c>
      <c r="G49" s="23" t="s">
        <v>151</v>
      </c>
      <c r="I49" s="24"/>
      <c r="J49" s="24"/>
    </row>
    <row r="50" spans="1:10" x14ac:dyDescent="0.25">
      <c r="A50" s="25" t="s">
        <v>152</v>
      </c>
      <c r="B50" s="48" t="s">
        <v>153</v>
      </c>
      <c r="C50" s="49"/>
      <c r="D50" s="22"/>
      <c r="E50" s="22"/>
      <c r="F50" s="23" t="s">
        <v>788</v>
      </c>
      <c r="G50" s="23" t="s">
        <v>151</v>
      </c>
      <c r="I50" s="24"/>
      <c r="J50" s="24"/>
    </row>
    <row r="51" spans="1:10" x14ac:dyDescent="0.25">
      <c r="A51" s="25" t="s">
        <v>154</v>
      </c>
      <c r="B51" s="48" t="s">
        <v>155</v>
      </c>
      <c r="C51" s="49"/>
      <c r="D51" s="22"/>
      <c r="E51" s="22"/>
      <c r="F51" s="23" t="s">
        <v>789</v>
      </c>
      <c r="G51" s="23" t="s">
        <v>29</v>
      </c>
      <c r="I51" s="24"/>
      <c r="J51" s="24"/>
    </row>
    <row r="52" spans="1:10" x14ac:dyDescent="0.25">
      <c r="A52" s="25" t="s">
        <v>156</v>
      </c>
      <c r="B52" s="48" t="s">
        <v>157</v>
      </c>
      <c r="C52" s="49" t="s">
        <v>158</v>
      </c>
      <c r="D52" s="22"/>
      <c r="E52" s="22"/>
      <c r="F52" s="23" t="s">
        <v>706</v>
      </c>
      <c r="G52" s="23" t="s">
        <v>122</v>
      </c>
      <c r="I52" s="24"/>
      <c r="J52" s="24"/>
    </row>
    <row r="53" spans="1:10" x14ac:dyDescent="0.25">
      <c r="A53" s="25" t="s">
        <v>159</v>
      </c>
      <c r="B53" s="48" t="s">
        <v>160</v>
      </c>
      <c r="C53" s="49"/>
      <c r="D53" s="22"/>
      <c r="E53" s="22"/>
      <c r="F53" s="23" t="s">
        <v>706</v>
      </c>
      <c r="G53" s="23" t="s">
        <v>62</v>
      </c>
      <c r="I53" s="24"/>
      <c r="J53" s="24"/>
    </row>
    <row r="54" spans="1:10" x14ac:dyDescent="0.25">
      <c r="A54" s="25" t="s">
        <v>161</v>
      </c>
      <c r="B54" s="52" t="s">
        <v>162</v>
      </c>
      <c r="C54" s="53"/>
      <c r="D54" s="22">
        <v>24</v>
      </c>
      <c r="E54" s="22">
        <v>21</v>
      </c>
      <c r="F54" s="23" t="s">
        <v>163</v>
      </c>
      <c r="G54" s="23"/>
      <c r="H54" s="3" t="s">
        <v>164</v>
      </c>
      <c r="I54" s="24"/>
      <c r="J54" s="24"/>
    </row>
    <row r="55" spans="1:10" x14ac:dyDescent="0.25">
      <c r="A55" s="30" t="s">
        <v>165</v>
      </c>
      <c r="B55" s="54" t="s">
        <v>166</v>
      </c>
      <c r="C55" s="55"/>
      <c r="D55" s="22">
        <v>21</v>
      </c>
      <c r="E55" s="22">
        <v>15</v>
      </c>
      <c r="F55" s="23" t="s">
        <v>167</v>
      </c>
      <c r="G55" s="23"/>
      <c r="I55" s="24"/>
      <c r="J55" s="24"/>
    </row>
    <row r="56" spans="1:10" x14ac:dyDescent="0.25">
      <c r="A56" s="25" t="s">
        <v>168</v>
      </c>
      <c r="B56" s="48" t="s">
        <v>169</v>
      </c>
      <c r="C56" s="49" t="s">
        <v>170</v>
      </c>
      <c r="D56" s="22">
        <v>30</v>
      </c>
      <c r="E56" s="22">
        <v>24</v>
      </c>
      <c r="F56" s="23" t="s">
        <v>171</v>
      </c>
      <c r="G56" s="23" t="s">
        <v>15</v>
      </c>
      <c r="H56" s="4" t="s">
        <v>137</v>
      </c>
      <c r="I56" s="24"/>
      <c r="J56" s="24"/>
    </row>
    <row r="57" spans="1:10" x14ac:dyDescent="0.25">
      <c r="A57" s="25" t="s">
        <v>172</v>
      </c>
      <c r="B57" s="48" t="s">
        <v>173</v>
      </c>
      <c r="C57" s="49" t="s">
        <v>170</v>
      </c>
      <c r="D57" s="22">
        <v>30</v>
      </c>
      <c r="E57" s="22">
        <v>24</v>
      </c>
      <c r="F57" s="23" t="s">
        <v>707</v>
      </c>
      <c r="G57" s="23" t="s">
        <v>15</v>
      </c>
      <c r="I57" s="24"/>
      <c r="J57" s="24"/>
    </row>
    <row r="58" spans="1:10" x14ac:dyDescent="0.25">
      <c r="A58" s="25" t="s">
        <v>175</v>
      </c>
      <c r="B58" s="48" t="s">
        <v>176</v>
      </c>
      <c r="C58" s="49" t="s">
        <v>170</v>
      </c>
      <c r="D58" s="22">
        <v>30</v>
      </c>
      <c r="E58" s="22">
        <v>24</v>
      </c>
      <c r="F58" s="23" t="s">
        <v>177</v>
      </c>
      <c r="G58" s="23" t="s">
        <v>15</v>
      </c>
      <c r="I58" s="24"/>
      <c r="J58" s="24"/>
    </row>
    <row r="59" spans="1:10" x14ac:dyDescent="0.25">
      <c r="A59" s="25" t="s">
        <v>178</v>
      </c>
      <c r="B59" s="48" t="s">
        <v>179</v>
      </c>
      <c r="C59" s="49"/>
      <c r="D59" s="22">
        <v>104</v>
      </c>
      <c r="E59" s="22">
        <v>104</v>
      </c>
      <c r="F59" s="23" t="s">
        <v>180</v>
      </c>
      <c r="G59" s="23" t="s">
        <v>47</v>
      </c>
      <c r="I59" s="24"/>
      <c r="J59" s="24"/>
    </row>
    <row r="60" spans="1:10" x14ac:dyDescent="0.25">
      <c r="A60" s="25" t="s">
        <v>181</v>
      </c>
      <c r="B60" s="48" t="s">
        <v>179</v>
      </c>
      <c r="C60" s="49"/>
      <c r="D60" s="22"/>
      <c r="E60" s="22"/>
      <c r="F60" s="23" t="s">
        <v>182</v>
      </c>
      <c r="G60" s="23" t="s">
        <v>47</v>
      </c>
      <c r="I60" s="24"/>
      <c r="J60" s="24"/>
    </row>
    <row r="61" spans="1:10" x14ac:dyDescent="0.25">
      <c r="A61" s="25" t="s">
        <v>183</v>
      </c>
      <c r="B61" s="48" t="s">
        <v>179</v>
      </c>
      <c r="C61" s="49"/>
      <c r="D61" s="22"/>
      <c r="E61" s="22"/>
      <c r="F61" s="23" t="s">
        <v>184</v>
      </c>
      <c r="G61" s="23" t="s">
        <v>29</v>
      </c>
      <c r="I61" s="24"/>
      <c r="J61" s="24"/>
    </row>
    <row r="62" spans="1:10" hidden="1" x14ac:dyDescent="0.25">
      <c r="A62" s="25" t="s">
        <v>185</v>
      </c>
      <c r="B62" s="48" t="s">
        <v>186</v>
      </c>
      <c r="C62" s="49"/>
      <c r="D62" s="22"/>
      <c r="E62" s="22"/>
      <c r="F62" s="23"/>
      <c r="G62" s="23"/>
      <c r="I62" s="24"/>
      <c r="J62" s="24"/>
    </row>
    <row r="63" spans="1:10" hidden="1" x14ac:dyDescent="0.25">
      <c r="A63" s="25" t="s">
        <v>187</v>
      </c>
      <c r="B63" s="48" t="s">
        <v>188</v>
      </c>
      <c r="C63" s="49"/>
      <c r="D63" s="22"/>
      <c r="E63" s="22"/>
      <c r="F63" s="23"/>
      <c r="G63" s="23"/>
      <c r="I63" s="24"/>
      <c r="J63" s="24"/>
    </row>
    <row r="64" spans="1:10" x14ac:dyDescent="0.25">
      <c r="A64" s="25" t="s">
        <v>189</v>
      </c>
      <c r="B64" s="48" t="s">
        <v>190</v>
      </c>
      <c r="C64" s="49" t="s">
        <v>170</v>
      </c>
      <c r="D64" s="22">
        <v>30</v>
      </c>
      <c r="E64" s="22">
        <v>24</v>
      </c>
      <c r="F64" s="23" t="s">
        <v>191</v>
      </c>
      <c r="G64" s="23" t="s">
        <v>15</v>
      </c>
      <c r="I64" s="24"/>
      <c r="J64" s="24"/>
    </row>
    <row r="65" spans="1:10" hidden="1" x14ac:dyDescent="0.25">
      <c r="A65" s="25" t="s">
        <v>192</v>
      </c>
      <c r="B65" s="48" t="s">
        <v>193</v>
      </c>
      <c r="C65" s="49"/>
      <c r="D65" s="22">
        <v>30</v>
      </c>
      <c r="E65" s="22">
        <v>24</v>
      </c>
      <c r="F65" s="23"/>
      <c r="G65" s="23"/>
      <c r="I65" s="24"/>
      <c r="J65" s="24"/>
    </row>
    <row r="66" spans="1:10" hidden="1" x14ac:dyDescent="0.25">
      <c r="A66" s="25" t="s">
        <v>194</v>
      </c>
      <c r="B66" s="48" t="s">
        <v>195</v>
      </c>
      <c r="C66" s="49"/>
      <c r="D66" s="22">
        <v>104</v>
      </c>
      <c r="E66" s="22">
        <v>104</v>
      </c>
      <c r="F66" s="23"/>
      <c r="G66" s="23"/>
      <c r="I66" s="24"/>
      <c r="J66" s="24"/>
    </row>
    <row r="67" spans="1:10" s="7" customFormat="1" x14ac:dyDescent="0.25">
      <c r="A67" s="25" t="s">
        <v>196</v>
      </c>
      <c r="B67" s="48" t="s">
        <v>197</v>
      </c>
      <c r="C67" s="49"/>
      <c r="D67" s="22"/>
      <c r="E67" s="22"/>
      <c r="F67" s="23" t="s">
        <v>198</v>
      </c>
      <c r="G67" s="23"/>
      <c r="I67" s="24"/>
      <c r="J67" s="24"/>
    </row>
    <row r="68" spans="1:10" s="7" customFormat="1" x14ac:dyDescent="0.25">
      <c r="A68" s="25" t="s">
        <v>199</v>
      </c>
      <c r="B68" s="48" t="s">
        <v>200</v>
      </c>
      <c r="C68" s="49"/>
      <c r="D68" s="22"/>
      <c r="E68" s="22"/>
      <c r="F68" s="23" t="s">
        <v>201</v>
      </c>
      <c r="G68" s="23"/>
      <c r="I68" s="24"/>
      <c r="J68" s="24"/>
    </row>
    <row r="69" spans="1:10" s="7" customFormat="1" x14ac:dyDescent="0.25">
      <c r="A69" s="25" t="s">
        <v>202</v>
      </c>
      <c r="B69" s="48" t="s">
        <v>203</v>
      </c>
      <c r="C69" s="49"/>
      <c r="D69" s="22"/>
      <c r="E69" s="22"/>
      <c r="F69" s="23" t="s">
        <v>204</v>
      </c>
      <c r="G69" s="23"/>
      <c r="I69" s="24"/>
      <c r="J69" s="24"/>
    </row>
    <row r="70" spans="1:10" s="7" customFormat="1" x14ac:dyDescent="0.25">
      <c r="A70" s="25" t="s">
        <v>205</v>
      </c>
      <c r="B70" s="48" t="s">
        <v>206</v>
      </c>
      <c r="C70" s="49"/>
      <c r="D70" s="22"/>
      <c r="E70" s="22"/>
      <c r="F70" s="23" t="s">
        <v>207</v>
      </c>
      <c r="G70" s="23"/>
      <c r="I70" s="24"/>
      <c r="J70" s="24"/>
    </row>
    <row r="71" spans="1:10" s="7" customFormat="1" x14ac:dyDescent="0.25">
      <c r="A71" s="30" t="s">
        <v>208</v>
      </c>
      <c r="B71" s="50" t="s">
        <v>209</v>
      </c>
      <c r="C71" s="51"/>
      <c r="D71" s="22"/>
      <c r="E71" s="22"/>
      <c r="F71" s="23" t="s">
        <v>210</v>
      </c>
      <c r="G71" s="23"/>
      <c r="I71" s="24"/>
      <c r="J71" s="24"/>
    </row>
    <row r="72" spans="1:10" s="7" customFormat="1" x14ac:dyDescent="0.25">
      <c r="A72" s="25" t="s">
        <v>211</v>
      </c>
      <c r="B72" s="56" t="s">
        <v>212</v>
      </c>
      <c r="C72" s="34" t="s">
        <v>60</v>
      </c>
      <c r="D72" s="22">
        <v>30</v>
      </c>
      <c r="E72" s="22">
        <v>20</v>
      </c>
      <c r="F72" s="23" t="s">
        <v>213</v>
      </c>
      <c r="G72" s="23" t="s">
        <v>62</v>
      </c>
      <c r="H72" s="2" t="s">
        <v>214</v>
      </c>
      <c r="I72" s="24"/>
      <c r="J72" s="24"/>
    </row>
    <row r="73" spans="1:10" s="7" customFormat="1" x14ac:dyDescent="0.25">
      <c r="A73" s="25" t="s">
        <v>215</v>
      </c>
      <c r="B73" s="56" t="s">
        <v>216</v>
      </c>
      <c r="C73" s="34" t="s">
        <v>66</v>
      </c>
      <c r="D73" s="22">
        <v>24</v>
      </c>
      <c r="E73" s="22">
        <v>18</v>
      </c>
      <c r="F73" s="23" t="s">
        <v>217</v>
      </c>
      <c r="G73" s="23" t="s">
        <v>29</v>
      </c>
      <c r="I73" s="24"/>
      <c r="J73" s="24"/>
    </row>
    <row r="74" spans="1:10" s="7" customFormat="1" hidden="1" x14ac:dyDescent="0.25">
      <c r="A74" s="25" t="s">
        <v>218</v>
      </c>
      <c r="B74" s="56" t="s">
        <v>219</v>
      </c>
      <c r="C74" s="57"/>
      <c r="D74" s="22"/>
      <c r="E74" s="22"/>
      <c r="F74" s="23" t="s">
        <v>220</v>
      </c>
      <c r="G74" s="23"/>
      <c r="I74" s="24"/>
      <c r="J74" s="24"/>
    </row>
    <row r="75" spans="1:10" s="7" customFormat="1" x14ac:dyDescent="0.25">
      <c r="A75" s="25" t="s">
        <v>221</v>
      </c>
      <c r="B75" s="56" t="s">
        <v>222</v>
      </c>
      <c r="C75" s="34" t="s">
        <v>66</v>
      </c>
      <c r="D75" s="22">
        <v>24</v>
      </c>
      <c r="E75" s="22">
        <v>18</v>
      </c>
      <c r="F75" s="23" t="s">
        <v>223</v>
      </c>
      <c r="G75" s="23" t="s">
        <v>29</v>
      </c>
      <c r="I75" s="24"/>
      <c r="J75" s="24"/>
    </row>
    <row r="76" spans="1:10" s="11" customFormat="1" x14ac:dyDescent="0.25">
      <c r="A76" s="25" t="s">
        <v>224</v>
      </c>
      <c r="B76" s="56" t="s">
        <v>225</v>
      </c>
      <c r="C76" s="34"/>
      <c r="D76" s="22"/>
      <c r="E76" s="22"/>
      <c r="F76" s="29" t="s">
        <v>708</v>
      </c>
      <c r="G76" s="23"/>
      <c r="H76" s="7"/>
      <c r="I76" s="24"/>
      <c r="J76" s="24"/>
    </row>
    <row r="77" spans="1:10" s="7" customFormat="1" x14ac:dyDescent="0.25">
      <c r="A77" s="25" t="s">
        <v>226</v>
      </c>
      <c r="B77" s="56" t="s">
        <v>227</v>
      </c>
      <c r="C77" s="57"/>
      <c r="D77" s="22"/>
      <c r="E77" s="22"/>
      <c r="F77" s="23" t="s">
        <v>228</v>
      </c>
      <c r="G77" s="23" t="s">
        <v>29</v>
      </c>
      <c r="I77" s="24"/>
      <c r="J77" s="24"/>
    </row>
    <row r="78" spans="1:10" s="7" customFormat="1" hidden="1" x14ac:dyDescent="0.25">
      <c r="A78" s="25" t="s">
        <v>229</v>
      </c>
      <c r="B78" s="56" t="s">
        <v>230</v>
      </c>
      <c r="C78" s="57"/>
      <c r="D78" s="22"/>
      <c r="E78" s="22"/>
      <c r="F78" s="23" t="s">
        <v>231</v>
      </c>
      <c r="G78" s="23"/>
      <c r="I78" s="24"/>
      <c r="J78" s="24"/>
    </row>
    <row r="79" spans="1:10" s="7" customFormat="1" x14ac:dyDescent="0.25">
      <c r="A79" s="25" t="s">
        <v>232</v>
      </c>
      <c r="B79" s="56" t="s">
        <v>233</v>
      </c>
      <c r="C79" s="57"/>
      <c r="D79" s="22">
        <v>27</v>
      </c>
      <c r="E79" s="22">
        <v>21</v>
      </c>
      <c r="F79" s="23" t="s">
        <v>234</v>
      </c>
      <c r="G79" s="23" t="s">
        <v>29</v>
      </c>
      <c r="I79" s="24"/>
      <c r="J79" s="24"/>
    </row>
    <row r="80" spans="1:10" s="7" customFormat="1" x14ac:dyDescent="0.25">
      <c r="A80" s="25" t="s">
        <v>235</v>
      </c>
      <c r="B80" s="56" t="s">
        <v>236</v>
      </c>
      <c r="C80" s="57"/>
      <c r="D80" s="22"/>
      <c r="E80" s="22"/>
      <c r="F80" s="23" t="s">
        <v>237</v>
      </c>
      <c r="G80" s="23" t="s">
        <v>29</v>
      </c>
      <c r="I80" s="24"/>
      <c r="J80" s="24"/>
    </row>
    <row r="81" spans="1:10" s="7" customFormat="1" x14ac:dyDescent="0.25">
      <c r="A81" s="25" t="s">
        <v>238</v>
      </c>
      <c r="B81" s="56" t="s">
        <v>239</v>
      </c>
      <c r="C81" s="57"/>
      <c r="D81" s="22">
        <v>30</v>
      </c>
      <c r="E81" s="22">
        <v>30</v>
      </c>
      <c r="F81" s="23" t="s">
        <v>240</v>
      </c>
      <c r="G81" s="23" t="s">
        <v>129</v>
      </c>
      <c r="I81" s="24"/>
      <c r="J81" s="24"/>
    </row>
    <row r="82" spans="1:10" s="7" customFormat="1" x14ac:dyDescent="0.25">
      <c r="A82" s="30" t="s">
        <v>241</v>
      </c>
      <c r="B82" s="58" t="s">
        <v>242</v>
      </c>
      <c r="C82" s="59" t="s">
        <v>243</v>
      </c>
      <c r="D82" s="22">
        <v>36</v>
      </c>
      <c r="E82" s="22">
        <v>30</v>
      </c>
      <c r="F82" s="23" t="s">
        <v>244</v>
      </c>
      <c r="G82" s="23" t="s">
        <v>15</v>
      </c>
      <c r="I82" s="24"/>
      <c r="J82" s="24"/>
    </row>
    <row r="83" spans="1:10" s="7" customFormat="1" x14ac:dyDescent="0.25">
      <c r="A83" s="30" t="s">
        <v>795</v>
      </c>
      <c r="B83" s="58" t="s">
        <v>796</v>
      </c>
      <c r="C83" s="59"/>
      <c r="D83" s="22"/>
      <c r="E83" s="22"/>
      <c r="F83" s="23"/>
      <c r="G83" s="23" t="s">
        <v>261</v>
      </c>
      <c r="I83" s="24"/>
      <c r="J83" s="24"/>
    </row>
    <row r="84" spans="1:10" s="11" customFormat="1" x14ac:dyDescent="0.25">
      <c r="A84" s="30" t="s">
        <v>245</v>
      </c>
      <c r="B84" s="58" t="s">
        <v>246</v>
      </c>
      <c r="C84" s="59"/>
      <c r="D84" s="22"/>
      <c r="E84" s="22"/>
      <c r="F84" s="23" t="s">
        <v>247</v>
      </c>
      <c r="G84" s="23" t="s">
        <v>15</v>
      </c>
      <c r="H84" s="7"/>
      <c r="I84" s="24"/>
      <c r="J84" s="24"/>
    </row>
    <row r="85" spans="1:10" s="11" customFormat="1" ht="30" customHeight="1" x14ac:dyDescent="0.25">
      <c r="A85" s="60"/>
      <c r="B85" s="61"/>
      <c r="C85" s="62"/>
      <c r="F85" s="61"/>
      <c r="G85" s="61"/>
      <c r="H85" s="63"/>
      <c r="I85" s="24"/>
      <c r="J85" s="24"/>
    </row>
    <row r="86" spans="1:10" s="11" customFormat="1" ht="21.75" customHeight="1" x14ac:dyDescent="0.25">
      <c r="A86" s="192" t="s">
        <v>248</v>
      </c>
      <c r="B86" s="192"/>
      <c r="C86" s="192"/>
      <c r="D86" s="192"/>
      <c r="E86" s="192"/>
      <c r="F86" s="192"/>
      <c r="G86" s="64"/>
      <c r="H86" s="65"/>
      <c r="I86" s="24"/>
      <c r="J86" s="24"/>
    </row>
    <row r="87" spans="1:10" s="69" customFormat="1" ht="33.75" x14ac:dyDescent="0.25">
      <c r="A87" s="13" t="s">
        <v>249</v>
      </c>
      <c r="B87" s="15" t="s">
        <v>250</v>
      </c>
      <c r="C87" s="15"/>
      <c r="D87" s="66" t="s">
        <v>4</v>
      </c>
      <c r="E87" s="66" t="s">
        <v>5</v>
      </c>
      <c r="F87" s="15" t="s">
        <v>251</v>
      </c>
      <c r="G87" s="15"/>
      <c r="H87" s="67"/>
      <c r="I87" s="68"/>
      <c r="J87" s="68"/>
    </row>
    <row r="88" spans="1:10" s="11" customFormat="1" x14ac:dyDescent="0.25">
      <c r="A88" s="70" t="s">
        <v>252</v>
      </c>
      <c r="B88" s="71" t="s">
        <v>253</v>
      </c>
      <c r="C88" s="71"/>
      <c r="D88" s="72"/>
      <c r="E88" s="72"/>
      <c r="F88" s="73" t="s">
        <v>709</v>
      </c>
      <c r="G88" s="73" t="s">
        <v>129</v>
      </c>
      <c r="H88" s="2" t="s">
        <v>214</v>
      </c>
      <c r="I88" s="24"/>
      <c r="J88" s="24"/>
    </row>
    <row r="89" spans="1:10" s="11" customFormat="1" x14ac:dyDescent="0.25">
      <c r="A89" s="30" t="s">
        <v>255</v>
      </c>
      <c r="B89" s="74" t="s">
        <v>256</v>
      </c>
      <c r="C89" s="75"/>
      <c r="D89" s="22"/>
      <c r="E89" s="22"/>
      <c r="F89" s="73" t="s">
        <v>257</v>
      </c>
      <c r="G89" s="76" t="s">
        <v>47</v>
      </c>
      <c r="H89" s="77" t="s">
        <v>258</v>
      </c>
      <c r="I89" s="24"/>
      <c r="J89" s="24"/>
    </row>
    <row r="90" spans="1:10" s="11" customFormat="1" x14ac:dyDescent="0.25">
      <c r="A90" s="25" t="s">
        <v>259</v>
      </c>
      <c r="B90" s="78" t="s">
        <v>260</v>
      </c>
      <c r="C90" s="79"/>
      <c r="D90" s="22"/>
      <c r="E90" s="22"/>
      <c r="F90" s="23" t="s">
        <v>710</v>
      </c>
      <c r="G90" s="23" t="s">
        <v>261</v>
      </c>
      <c r="H90" s="7"/>
      <c r="I90" s="24"/>
      <c r="J90" s="24"/>
    </row>
    <row r="91" spans="1:10" s="11" customFormat="1" x14ac:dyDescent="0.25">
      <c r="A91" s="25" t="s">
        <v>262</v>
      </c>
      <c r="B91" s="78" t="s">
        <v>263</v>
      </c>
      <c r="C91" s="79"/>
      <c r="D91" s="22"/>
      <c r="E91" s="22"/>
      <c r="F91" s="23" t="s">
        <v>711</v>
      </c>
      <c r="G91" s="23" t="s">
        <v>261</v>
      </c>
      <c r="H91" s="7"/>
      <c r="I91" s="24"/>
      <c r="J91" s="24"/>
    </row>
    <row r="92" spans="1:10" s="11" customFormat="1" x14ac:dyDescent="0.25">
      <c r="A92" s="25" t="s">
        <v>264</v>
      </c>
      <c r="B92" s="78" t="s">
        <v>265</v>
      </c>
      <c r="C92" s="79" t="s">
        <v>80</v>
      </c>
      <c r="D92" s="22"/>
      <c r="E92" s="22"/>
      <c r="F92" s="73" t="s">
        <v>736</v>
      </c>
      <c r="G92" s="80" t="s">
        <v>129</v>
      </c>
      <c r="H92" s="7"/>
      <c r="I92" s="24"/>
      <c r="J92" s="24"/>
    </row>
    <row r="93" spans="1:10" s="11" customFormat="1" x14ac:dyDescent="0.25">
      <c r="A93" s="25" t="s">
        <v>266</v>
      </c>
      <c r="B93" s="78" t="s">
        <v>267</v>
      </c>
      <c r="C93" s="79" t="s">
        <v>80</v>
      </c>
      <c r="D93" s="22"/>
      <c r="E93" s="22"/>
      <c r="F93" s="80" t="s">
        <v>737</v>
      </c>
      <c r="G93" s="80" t="s">
        <v>129</v>
      </c>
      <c r="H93" s="1" t="s">
        <v>269</v>
      </c>
      <c r="I93" s="24"/>
      <c r="J93" s="24"/>
    </row>
    <row r="94" spans="1:10" s="11" customFormat="1" x14ac:dyDescent="0.25">
      <c r="A94" s="25" t="s">
        <v>270</v>
      </c>
      <c r="B94" s="81" t="s">
        <v>271</v>
      </c>
      <c r="C94" s="82"/>
      <c r="D94" s="22"/>
      <c r="E94" s="22"/>
      <c r="F94" s="29" t="s">
        <v>272</v>
      </c>
      <c r="G94" s="80" t="s">
        <v>129</v>
      </c>
      <c r="H94" s="83" t="s">
        <v>273</v>
      </c>
      <c r="I94" s="24"/>
      <c r="J94" s="24"/>
    </row>
    <row r="95" spans="1:10" s="11" customFormat="1" x14ac:dyDescent="0.25">
      <c r="A95" s="25" t="s">
        <v>274</v>
      </c>
      <c r="B95" s="78" t="s">
        <v>275</v>
      </c>
      <c r="C95" s="79" t="s">
        <v>80</v>
      </c>
      <c r="D95" s="22"/>
      <c r="E95" s="22"/>
      <c r="F95" s="29" t="s">
        <v>276</v>
      </c>
      <c r="G95" s="23" t="s">
        <v>261</v>
      </c>
      <c r="H95" s="7"/>
      <c r="I95" s="24"/>
      <c r="J95" s="24"/>
    </row>
    <row r="96" spans="1:10" s="11" customFormat="1" x14ac:dyDescent="0.25">
      <c r="A96" s="25" t="s">
        <v>277</v>
      </c>
      <c r="B96" s="78" t="s">
        <v>278</v>
      </c>
      <c r="C96" s="79"/>
      <c r="D96" s="22"/>
      <c r="E96" s="22"/>
      <c r="F96" s="73" t="s">
        <v>787</v>
      </c>
      <c r="G96" s="23" t="s">
        <v>261</v>
      </c>
      <c r="H96" s="7"/>
      <c r="I96" s="24"/>
      <c r="J96" s="24"/>
    </row>
    <row r="97" spans="1:10" s="11" customFormat="1" x14ac:dyDescent="0.25">
      <c r="A97" s="25" t="s">
        <v>279</v>
      </c>
      <c r="B97" s="78" t="s">
        <v>280</v>
      </c>
      <c r="C97" s="79"/>
      <c r="D97" s="22"/>
      <c r="E97" s="22"/>
      <c r="F97" s="73" t="s">
        <v>786</v>
      </c>
      <c r="G97" s="23" t="s">
        <v>261</v>
      </c>
      <c r="H97" s="7"/>
      <c r="I97" s="24"/>
      <c r="J97" s="24"/>
    </row>
    <row r="98" spans="1:10" s="11" customFormat="1" x14ac:dyDescent="0.25">
      <c r="A98" s="25" t="s">
        <v>281</v>
      </c>
      <c r="B98" s="78" t="s">
        <v>282</v>
      </c>
      <c r="C98" s="79"/>
      <c r="D98" s="22"/>
      <c r="E98" s="22"/>
      <c r="F98" s="73" t="s">
        <v>785</v>
      </c>
      <c r="G98" s="23" t="s">
        <v>261</v>
      </c>
      <c r="H98" s="7"/>
      <c r="I98" s="24"/>
      <c r="J98" s="24"/>
    </row>
    <row r="99" spans="1:10" s="11" customFormat="1" x14ac:dyDescent="0.25">
      <c r="A99" s="25" t="s">
        <v>801</v>
      </c>
      <c r="B99" s="78" t="s">
        <v>802</v>
      </c>
      <c r="C99" s="79"/>
      <c r="D99" s="22"/>
      <c r="E99" s="22"/>
      <c r="F99" s="73"/>
      <c r="G99" s="23" t="s">
        <v>261</v>
      </c>
      <c r="H99" s="7"/>
      <c r="I99" s="24"/>
      <c r="J99" s="24"/>
    </row>
    <row r="100" spans="1:10" s="11" customFormat="1" x14ac:dyDescent="0.25">
      <c r="A100" s="25" t="s">
        <v>283</v>
      </c>
      <c r="B100" s="78" t="s">
        <v>284</v>
      </c>
      <c r="C100" s="79"/>
      <c r="D100" s="22"/>
      <c r="E100" s="22"/>
      <c r="F100" s="29" t="s">
        <v>285</v>
      </c>
      <c r="G100" s="23" t="s">
        <v>261</v>
      </c>
      <c r="H100" s="7"/>
      <c r="I100" s="24"/>
      <c r="J100" s="24"/>
    </row>
    <row r="101" spans="1:10" s="11" customFormat="1" x14ac:dyDescent="0.25">
      <c r="A101" s="25" t="s">
        <v>286</v>
      </c>
      <c r="B101" s="78" t="s">
        <v>287</v>
      </c>
      <c r="C101" s="79"/>
      <c r="D101" s="22"/>
      <c r="E101" s="22"/>
      <c r="F101" s="73" t="s">
        <v>784</v>
      </c>
      <c r="G101" s="23" t="s">
        <v>261</v>
      </c>
      <c r="H101" s="7"/>
      <c r="I101" s="24"/>
      <c r="J101" s="24"/>
    </row>
    <row r="102" spans="1:10" s="11" customFormat="1" x14ac:dyDescent="0.25">
      <c r="A102" s="25" t="s">
        <v>288</v>
      </c>
      <c r="B102" s="78" t="s">
        <v>289</v>
      </c>
      <c r="C102" s="79"/>
      <c r="D102" s="22"/>
      <c r="E102" s="22"/>
      <c r="F102" s="73" t="s">
        <v>712</v>
      </c>
      <c r="G102" s="23" t="s">
        <v>261</v>
      </c>
      <c r="H102" s="7"/>
      <c r="I102" s="24"/>
      <c r="J102" s="24"/>
    </row>
    <row r="103" spans="1:10" s="11" customFormat="1" x14ac:dyDescent="0.25">
      <c r="A103" s="25" t="s">
        <v>290</v>
      </c>
      <c r="B103" s="78" t="s">
        <v>260</v>
      </c>
      <c r="C103" s="79"/>
      <c r="D103" s="22"/>
      <c r="E103" s="22"/>
      <c r="F103" s="73" t="s">
        <v>710</v>
      </c>
      <c r="G103" s="23" t="s">
        <v>261</v>
      </c>
      <c r="H103" s="7"/>
      <c r="I103" s="24"/>
      <c r="J103" s="24"/>
    </row>
    <row r="104" spans="1:10" s="11" customFormat="1" x14ac:dyDescent="0.25">
      <c r="A104" s="25" t="s">
        <v>291</v>
      </c>
      <c r="B104" s="78" t="s">
        <v>292</v>
      </c>
      <c r="C104" s="79"/>
      <c r="D104" s="22"/>
      <c r="E104" s="22"/>
      <c r="F104" s="73" t="s">
        <v>713</v>
      </c>
      <c r="G104" s="23" t="s">
        <v>261</v>
      </c>
      <c r="H104" s="7"/>
      <c r="I104" s="24"/>
      <c r="J104" s="24"/>
    </row>
    <row r="105" spans="1:10" s="11" customFormat="1" x14ac:dyDescent="0.25">
      <c r="A105" s="25" t="s">
        <v>293</v>
      </c>
      <c r="B105" s="78" t="s">
        <v>294</v>
      </c>
      <c r="C105" s="79"/>
      <c r="D105" s="22"/>
      <c r="E105" s="22"/>
      <c r="F105" s="80" t="s">
        <v>295</v>
      </c>
      <c r="G105" s="80" t="s">
        <v>261</v>
      </c>
      <c r="H105" s="7"/>
      <c r="I105" s="24"/>
      <c r="J105" s="24"/>
    </row>
    <row r="106" spans="1:10" s="11" customFormat="1" x14ac:dyDescent="0.25">
      <c r="A106" s="25" t="s">
        <v>296</v>
      </c>
      <c r="B106" s="78" t="s">
        <v>297</v>
      </c>
      <c r="C106" s="79"/>
      <c r="D106" s="22"/>
      <c r="E106" s="22"/>
      <c r="F106" s="73" t="s">
        <v>782</v>
      </c>
      <c r="G106" s="23" t="s">
        <v>261</v>
      </c>
      <c r="H106" s="7"/>
      <c r="I106" s="24"/>
      <c r="J106" s="24"/>
    </row>
    <row r="107" spans="1:10" s="11" customFormat="1" x14ac:dyDescent="0.25">
      <c r="A107" s="25" t="s">
        <v>298</v>
      </c>
      <c r="B107" s="78" t="s">
        <v>299</v>
      </c>
      <c r="C107" s="79"/>
      <c r="D107" s="22"/>
      <c r="E107" s="22"/>
      <c r="F107" s="73" t="s">
        <v>783</v>
      </c>
      <c r="G107" s="23" t="s">
        <v>261</v>
      </c>
      <c r="H107" s="7"/>
      <c r="I107" s="24"/>
      <c r="J107" s="24"/>
    </row>
    <row r="108" spans="1:10" s="11" customFormat="1" x14ac:dyDescent="0.25">
      <c r="A108" s="25" t="s">
        <v>300</v>
      </c>
      <c r="B108" s="78" t="s">
        <v>301</v>
      </c>
      <c r="C108" s="79"/>
      <c r="D108" s="22"/>
      <c r="E108" s="22"/>
      <c r="F108" s="73" t="s">
        <v>738</v>
      </c>
      <c r="G108" s="80" t="s">
        <v>129</v>
      </c>
      <c r="H108" s="7"/>
      <c r="I108" s="24"/>
      <c r="J108" s="24"/>
    </row>
    <row r="109" spans="1:10" s="11" customFormat="1" x14ac:dyDescent="0.25">
      <c r="A109" s="25" t="s">
        <v>302</v>
      </c>
      <c r="B109" s="78" t="s">
        <v>303</v>
      </c>
      <c r="C109" s="79"/>
      <c r="D109" s="22"/>
      <c r="E109" s="22"/>
      <c r="F109" s="73" t="s">
        <v>714</v>
      </c>
      <c r="G109" s="23" t="s">
        <v>261</v>
      </c>
      <c r="H109" s="7"/>
      <c r="I109" s="24"/>
      <c r="J109" s="24"/>
    </row>
    <row r="110" spans="1:10" s="11" customFormat="1" x14ac:dyDescent="0.25">
      <c r="A110" s="25" t="s">
        <v>304</v>
      </c>
      <c r="B110" s="78" t="s">
        <v>305</v>
      </c>
      <c r="C110" s="79"/>
      <c r="D110" s="22"/>
      <c r="E110" s="22"/>
      <c r="F110" s="73" t="s">
        <v>715</v>
      </c>
      <c r="G110" s="23" t="s">
        <v>261</v>
      </c>
      <c r="H110" s="7"/>
      <c r="I110" s="24"/>
      <c r="J110" s="24"/>
    </row>
    <row r="111" spans="1:10" s="11" customFormat="1" x14ac:dyDescent="0.25">
      <c r="A111" s="25" t="s">
        <v>306</v>
      </c>
      <c r="B111" s="78" t="s">
        <v>307</v>
      </c>
      <c r="C111" s="79" t="s">
        <v>80</v>
      </c>
      <c r="D111" s="22"/>
      <c r="E111" s="22"/>
      <c r="F111" s="73" t="s">
        <v>739</v>
      </c>
      <c r="G111" s="23" t="s">
        <v>261</v>
      </c>
      <c r="H111" s="7"/>
      <c r="I111" s="24"/>
      <c r="J111" s="24"/>
    </row>
    <row r="112" spans="1:10" s="11" customFormat="1" hidden="1" x14ac:dyDescent="0.25">
      <c r="A112" s="25" t="s">
        <v>308</v>
      </c>
      <c r="B112" s="78"/>
      <c r="C112" s="79"/>
      <c r="D112" s="22"/>
      <c r="E112" s="22"/>
      <c r="F112" s="80" t="s">
        <v>309</v>
      </c>
      <c r="G112" s="80" t="s">
        <v>129</v>
      </c>
      <c r="H112" s="7"/>
      <c r="I112" s="24"/>
      <c r="J112" s="24"/>
    </row>
    <row r="113" spans="1:10" s="11" customFormat="1" x14ac:dyDescent="0.25">
      <c r="A113" s="25" t="s">
        <v>310</v>
      </c>
      <c r="B113" s="78" t="s">
        <v>311</v>
      </c>
      <c r="C113" s="79"/>
      <c r="D113" s="22"/>
      <c r="E113" s="22"/>
      <c r="F113" s="73" t="s">
        <v>716</v>
      </c>
      <c r="G113" s="23" t="s">
        <v>261</v>
      </c>
      <c r="H113" s="7"/>
      <c r="I113" s="24"/>
      <c r="J113" s="24"/>
    </row>
    <row r="114" spans="1:10" s="11" customFormat="1" x14ac:dyDescent="0.25">
      <c r="A114" s="25" t="s">
        <v>815</v>
      </c>
      <c r="B114" s="78" t="s">
        <v>818</v>
      </c>
      <c r="C114" s="79"/>
      <c r="D114" s="22"/>
      <c r="E114" s="22"/>
      <c r="F114" s="73" t="s">
        <v>819</v>
      </c>
      <c r="G114" s="23" t="s">
        <v>261</v>
      </c>
      <c r="H114" s="7"/>
      <c r="I114" s="24"/>
      <c r="J114" s="24"/>
    </row>
    <row r="115" spans="1:10" s="11" customFormat="1" x14ac:dyDescent="0.25">
      <c r="A115" s="25" t="s">
        <v>312</v>
      </c>
      <c r="B115" s="78" t="s">
        <v>313</v>
      </c>
      <c r="C115" s="79"/>
      <c r="D115" s="22"/>
      <c r="E115" s="22"/>
      <c r="F115" s="73" t="s">
        <v>747</v>
      </c>
      <c r="G115" s="23" t="s">
        <v>261</v>
      </c>
      <c r="H115" s="7"/>
      <c r="I115" s="24"/>
      <c r="J115" s="24"/>
    </row>
    <row r="116" spans="1:10" s="11" customFormat="1" x14ac:dyDescent="0.25">
      <c r="A116" s="25" t="s">
        <v>314</v>
      </c>
      <c r="B116" s="78" t="s">
        <v>315</v>
      </c>
      <c r="C116" s="79"/>
      <c r="D116" s="22"/>
      <c r="E116" s="22"/>
      <c r="F116" s="73" t="s">
        <v>748</v>
      </c>
      <c r="G116" s="23" t="s">
        <v>261</v>
      </c>
      <c r="H116" s="7"/>
      <c r="I116" s="24"/>
      <c r="J116" s="24"/>
    </row>
    <row r="117" spans="1:10" s="11" customFormat="1" x14ac:dyDescent="0.25">
      <c r="A117" s="25" t="s">
        <v>316</v>
      </c>
      <c r="B117" s="78" t="s">
        <v>317</v>
      </c>
      <c r="C117" s="79"/>
      <c r="D117" s="22"/>
      <c r="E117" s="22"/>
      <c r="F117" s="73" t="s">
        <v>781</v>
      </c>
      <c r="G117" s="23" t="s">
        <v>261</v>
      </c>
      <c r="H117" s="7"/>
      <c r="I117" s="24"/>
      <c r="J117" s="24"/>
    </row>
    <row r="118" spans="1:10" s="11" customFormat="1" x14ac:dyDescent="0.25">
      <c r="A118" s="25" t="s">
        <v>318</v>
      </c>
      <c r="B118" s="78" t="s">
        <v>319</v>
      </c>
      <c r="C118" s="79"/>
      <c r="D118" s="22"/>
      <c r="E118" s="22"/>
      <c r="F118" s="73" t="s">
        <v>717</v>
      </c>
      <c r="G118" s="23" t="s">
        <v>261</v>
      </c>
      <c r="H118" s="7"/>
      <c r="I118" s="24"/>
      <c r="J118" s="24"/>
    </row>
    <row r="119" spans="1:10" s="11" customFormat="1" x14ac:dyDescent="0.25">
      <c r="A119" s="25" t="s">
        <v>320</v>
      </c>
      <c r="B119" s="78" t="s">
        <v>321</v>
      </c>
      <c r="C119" s="79"/>
      <c r="D119" s="22"/>
      <c r="E119" s="22"/>
      <c r="F119" s="73" t="s">
        <v>749</v>
      </c>
      <c r="G119" s="23" t="s">
        <v>261</v>
      </c>
      <c r="H119" s="7"/>
      <c r="I119" s="24"/>
      <c r="J119" s="24"/>
    </row>
    <row r="120" spans="1:10" s="11" customFormat="1" x14ac:dyDescent="0.25">
      <c r="A120" s="25" t="s">
        <v>322</v>
      </c>
      <c r="B120" s="78" t="s">
        <v>323</v>
      </c>
      <c r="C120" s="79"/>
      <c r="D120" s="22"/>
      <c r="E120" s="22"/>
      <c r="F120" s="73" t="s">
        <v>750</v>
      </c>
      <c r="G120" s="23" t="s">
        <v>261</v>
      </c>
      <c r="H120" s="7"/>
      <c r="I120" s="24"/>
      <c r="J120" s="24"/>
    </row>
    <row r="121" spans="1:10" s="11" customFormat="1" x14ac:dyDescent="0.25">
      <c r="A121" s="25" t="s">
        <v>324</v>
      </c>
      <c r="B121" s="78" t="s">
        <v>325</v>
      </c>
      <c r="C121" s="79"/>
      <c r="D121" s="22"/>
      <c r="E121" s="22"/>
      <c r="F121" s="73" t="s">
        <v>718</v>
      </c>
      <c r="G121" s="23" t="s">
        <v>261</v>
      </c>
      <c r="H121" s="7"/>
      <c r="I121" s="24"/>
      <c r="J121" s="24"/>
    </row>
    <row r="122" spans="1:10" s="11" customFormat="1" x14ac:dyDescent="0.25">
      <c r="A122" s="25" t="s">
        <v>326</v>
      </c>
      <c r="B122" s="78" t="s">
        <v>327</v>
      </c>
      <c r="C122" s="79"/>
      <c r="D122" s="22"/>
      <c r="E122" s="22"/>
      <c r="F122" s="73" t="s">
        <v>751</v>
      </c>
      <c r="G122" s="23" t="s">
        <v>261</v>
      </c>
      <c r="H122" s="7"/>
      <c r="I122" s="24"/>
      <c r="J122" s="24"/>
    </row>
    <row r="123" spans="1:10" s="11" customFormat="1" x14ac:dyDescent="0.25">
      <c r="A123" s="25" t="s">
        <v>328</v>
      </c>
      <c r="B123" s="78" t="s">
        <v>329</v>
      </c>
      <c r="C123" s="79"/>
      <c r="D123" s="22"/>
      <c r="E123" s="22"/>
      <c r="F123" s="73" t="s">
        <v>719</v>
      </c>
      <c r="G123" s="23" t="s">
        <v>261</v>
      </c>
      <c r="H123" s="7"/>
      <c r="I123" s="24"/>
      <c r="J123" s="24"/>
    </row>
    <row r="124" spans="1:10" s="11" customFormat="1" x14ac:dyDescent="0.25">
      <c r="A124" s="25" t="s">
        <v>330</v>
      </c>
      <c r="B124" s="78" t="s">
        <v>331</v>
      </c>
      <c r="C124" s="79"/>
      <c r="D124" s="22"/>
      <c r="E124" s="22"/>
      <c r="F124" s="29" t="s">
        <v>332</v>
      </c>
      <c r="G124" s="80" t="s">
        <v>129</v>
      </c>
      <c r="H124" s="7"/>
      <c r="I124" s="24"/>
      <c r="J124" s="24"/>
    </row>
    <row r="125" spans="1:10" s="11" customFormat="1" x14ac:dyDescent="0.25">
      <c r="A125" s="25" t="s">
        <v>333</v>
      </c>
      <c r="B125" s="78" t="s">
        <v>334</v>
      </c>
      <c r="C125" s="79"/>
      <c r="D125" s="22"/>
      <c r="E125" s="22"/>
      <c r="F125" s="80" t="s">
        <v>780</v>
      </c>
      <c r="G125" s="80" t="s">
        <v>129</v>
      </c>
      <c r="H125" s="7"/>
      <c r="I125" s="24"/>
      <c r="J125" s="24"/>
    </row>
    <row r="126" spans="1:10" s="11" customFormat="1" x14ac:dyDescent="0.25">
      <c r="A126" s="25" t="s">
        <v>336</v>
      </c>
      <c r="B126" s="78" t="s">
        <v>337</v>
      </c>
      <c r="C126" s="79"/>
      <c r="D126" s="22"/>
      <c r="E126" s="22"/>
      <c r="F126" s="80" t="s">
        <v>752</v>
      </c>
      <c r="G126" s="80" t="s">
        <v>129</v>
      </c>
      <c r="H126" s="7"/>
      <c r="I126" s="84"/>
      <c r="J126" s="84"/>
    </row>
    <row r="127" spans="1:10" s="11" customFormat="1" x14ac:dyDescent="0.25">
      <c r="A127" s="25" t="s">
        <v>339</v>
      </c>
      <c r="B127" s="78" t="s">
        <v>340</v>
      </c>
      <c r="C127" s="79"/>
      <c r="D127" s="22"/>
      <c r="E127" s="22"/>
      <c r="F127" s="73" t="s">
        <v>753</v>
      </c>
      <c r="G127" s="80" t="s">
        <v>129</v>
      </c>
      <c r="H127" s="7"/>
      <c r="I127" s="24"/>
      <c r="J127" s="24"/>
    </row>
    <row r="128" spans="1:10" s="11" customFormat="1" x14ac:dyDescent="0.25">
      <c r="A128" s="25" t="s">
        <v>341</v>
      </c>
      <c r="B128" s="78" t="s">
        <v>342</v>
      </c>
      <c r="C128" s="79"/>
      <c r="D128" s="22"/>
      <c r="E128" s="22"/>
      <c r="F128" s="80" t="s">
        <v>343</v>
      </c>
      <c r="G128" s="73" t="s">
        <v>261</v>
      </c>
      <c r="H128" s="7"/>
      <c r="I128" s="84"/>
      <c r="J128" s="84"/>
    </row>
    <row r="129" spans="1:10" s="11" customFormat="1" x14ac:dyDescent="0.25">
      <c r="A129" s="25" t="s">
        <v>344</v>
      </c>
      <c r="B129" s="78" t="s">
        <v>345</v>
      </c>
      <c r="C129" s="79"/>
      <c r="D129" s="22"/>
      <c r="E129" s="22"/>
      <c r="F129" s="80" t="s">
        <v>346</v>
      </c>
      <c r="G129" s="80" t="s">
        <v>261</v>
      </c>
      <c r="H129" s="7"/>
      <c r="I129" s="84"/>
      <c r="J129" s="84"/>
    </row>
    <row r="130" spans="1:10" s="11" customFormat="1" x14ac:dyDescent="0.25">
      <c r="A130" s="25" t="s">
        <v>347</v>
      </c>
      <c r="B130" s="78" t="s">
        <v>348</v>
      </c>
      <c r="C130" s="79"/>
      <c r="D130" s="22"/>
      <c r="E130" s="22"/>
      <c r="F130" s="80" t="s">
        <v>754</v>
      </c>
      <c r="G130" s="80" t="s">
        <v>129</v>
      </c>
      <c r="H130" s="7"/>
      <c r="I130" s="84"/>
      <c r="J130" s="84"/>
    </row>
    <row r="131" spans="1:10" s="11" customFormat="1" x14ac:dyDescent="0.25">
      <c r="A131" s="25" t="s">
        <v>350</v>
      </c>
      <c r="B131" s="78" t="s">
        <v>351</v>
      </c>
      <c r="C131" s="79"/>
      <c r="D131" s="22"/>
      <c r="E131" s="22"/>
      <c r="F131" s="80" t="s">
        <v>755</v>
      </c>
      <c r="G131" s="73" t="s">
        <v>261</v>
      </c>
      <c r="H131" s="7"/>
      <c r="I131" s="84"/>
      <c r="J131" s="84"/>
    </row>
    <row r="132" spans="1:10" s="11" customFormat="1" x14ac:dyDescent="0.25">
      <c r="A132" s="25" t="s">
        <v>352</v>
      </c>
      <c r="B132" s="78" t="s">
        <v>353</v>
      </c>
      <c r="C132" s="79"/>
      <c r="D132" s="22"/>
      <c r="E132" s="22"/>
      <c r="F132" s="80" t="s">
        <v>800</v>
      </c>
      <c r="G132" s="73" t="s">
        <v>261</v>
      </c>
      <c r="H132" s="7"/>
      <c r="I132" s="84"/>
      <c r="J132" s="84"/>
    </row>
    <row r="133" spans="1:10" s="11" customFormat="1" x14ac:dyDescent="0.25">
      <c r="A133" s="25" t="s">
        <v>355</v>
      </c>
      <c r="B133" s="78" t="s">
        <v>356</v>
      </c>
      <c r="C133" s="79"/>
      <c r="D133" s="22"/>
      <c r="E133" s="22"/>
      <c r="F133" s="80" t="s">
        <v>357</v>
      </c>
      <c r="G133" s="73" t="s">
        <v>261</v>
      </c>
      <c r="H133" s="7"/>
      <c r="I133" s="84"/>
      <c r="J133" s="84"/>
    </row>
    <row r="134" spans="1:10" s="11" customFormat="1" x14ac:dyDescent="0.25">
      <c r="A134" s="25" t="s">
        <v>358</v>
      </c>
      <c r="B134" s="78" t="s">
        <v>359</v>
      </c>
      <c r="C134" s="79"/>
      <c r="D134" s="22"/>
      <c r="E134" s="22"/>
      <c r="F134" s="80" t="s">
        <v>756</v>
      </c>
      <c r="G134" s="80" t="s">
        <v>129</v>
      </c>
      <c r="H134" s="7"/>
      <c r="I134" s="84"/>
      <c r="J134" s="84"/>
    </row>
    <row r="135" spans="1:10" s="11" customFormat="1" x14ac:dyDescent="0.25">
      <c r="A135" s="25" t="s">
        <v>361</v>
      </c>
      <c r="B135" s="78" t="s">
        <v>362</v>
      </c>
      <c r="C135" s="79"/>
      <c r="D135" s="22"/>
      <c r="E135" s="22"/>
      <c r="F135" s="73" t="s">
        <v>757</v>
      </c>
      <c r="G135" s="80" t="s">
        <v>129</v>
      </c>
      <c r="H135" s="7"/>
      <c r="I135" s="24"/>
      <c r="J135" s="24"/>
    </row>
    <row r="136" spans="1:10" s="11" customFormat="1" x14ac:dyDescent="0.25">
      <c r="A136" s="25" t="s">
        <v>363</v>
      </c>
      <c r="B136" s="78" t="s">
        <v>364</v>
      </c>
      <c r="C136" s="79"/>
      <c r="D136" s="22"/>
      <c r="E136" s="22"/>
      <c r="F136" s="73" t="s">
        <v>758</v>
      </c>
      <c r="G136" s="23" t="s">
        <v>129</v>
      </c>
      <c r="H136" s="7"/>
      <c r="I136" s="24"/>
      <c r="J136" s="24"/>
    </row>
    <row r="137" spans="1:10" s="11" customFormat="1" x14ac:dyDescent="0.25">
      <c r="A137" s="25" t="s">
        <v>365</v>
      </c>
      <c r="B137" s="78" t="s">
        <v>366</v>
      </c>
      <c r="C137" s="79"/>
      <c r="D137" s="22"/>
      <c r="E137" s="22"/>
      <c r="F137" s="73" t="s">
        <v>758</v>
      </c>
      <c r="G137" s="23" t="s">
        <v>261</v>
      </c>
      <c r="H137" s="7"/>
      <c r="I137" s="24"/>
      <c r="J137" s="24"/>
    </row>
    <row r="138" spans="1:10" s="11" customFormat="1" x14ac:dyDescent="0.25">
      <c r="A138" s="25" t="s">
        <v>367</v>
      </c>
      <c r="B138" s="78" t="s">
        <v>368</v>
      </c>
      <c r="C138" s="79"/>
      <c r="D138" s="22"/>
      <c r="E138" s="22"/>
      <c r="F138" s="73" t="s">
        <v>759</v>
      </c>
      <c r="G138" s="23" t="s">
        <v>261</v>
      </c>
      <c r="H138" s="7"/>
      <c r="I138" s="24"/>
      <c r="J138" s="24"/>
    </row>
    <row r="139" spans="1:10" s="11" customFormat="1" x14ac:dyDescent="0.25">
      <c r="A139" s="25" t="s">
        <v>369</v>
      </c>
      <c r="B139" s="78" t="s">
        <v>370</v>
      </c>
      <c r="C139" s="79"/>
      <c r="D139" s="22"/>
      <c r="E139" s="22"/>
      <c r="F139" s="80" t="s">
        <v>760</v>
      </c>
      <c r="G139" s="80" t="s">
        <v>129</v>
      </c>
      <c r="H139" s="7"/>
      <c r="I139" s="84"/>
      <c r="J139" s="84"/>
    </row>
    <row r="140" spans="1:10" s="11" customFormat="1" x14ac:dyDescent="0.25">
      <c r="A140" s="25" t="s">
        <v>372</v>
      </c>
      <c r="B140" s="78" t="s">
        <v>373</v>
      </c>
      <c r="C140" s="79"/>
      <c r="D140" s="22"/>
      <c r="E140" s="22"/>
      <c r="F140" s="80" t="s">
        <v>374</v>
      </c>
      <c r="G140" s="80" t="s">
        <v>129</v>
      </c>
      <c r="H140" s="7"/>
      <c r="I140" s="84"/>
      <c r="J140" s="84"/>
    </row>
    <row r="141" spans="1:10" s="11" customFormat="1" x14ac:dyDescent="0.25">
      <c r="A141" s="25" t="s">
        <v>375</v>
      </c>
      <c r="B141" s="78" t="s">
        <v>376</v>
      </c>
      <c r="C141" s="79"/>
      <c r="D141" s="22"/>
      <c r="E141" s="22"/>
      <c r="F141" s="80" t="s">
        <v>377</v>
      </c>
      <c r="G141" s="80" t="s">
        <v>129</v>
      </c>
      <c r="H141" s="7"/>
      <c r="I141" s="84"/>
      <c r="J141" s="84"/>
    </row>
    <row r="142" spans="1:10" s="11" customFormat="1" x14ac:dyDescent="0.25">
      <c r="A142" s="25" t="s">
        <v>378</v>
      </c>
      <c r="B142" s="78" t="s">
        <v>379</v>
      </c>
      <c r="C142" s="79"/>
      <c r="D142" s="22"/>
      <c r="E142" s="22"/>
      <c r="F142" s="80" t="s">
        <v>380</v>
      </c>
      <c r="G142" s="80" t="s">
        <v>129</v>
      </c>
      <c r="H142" s="7"/>
      <c r="I142" s="84"/>
      <c r="J142" s="84"/>
    </row>
    <row r="143" spans="1:10" s="11" customFormat="1" x14ac:dyDescent="0.25">
      <c r="A143" s="25" t="s">
        <v>793</v>
      </c>
      <c r="B143" s="78" t="s">
        <v>794</v>
      </c>
      <c r="C143" s="79"/>
      <c r="D143" s="22"/>
      <c r="E143" s="22"/>
      <c r="F143" s="80"/>
      <c r="G143" s="73" t="s">
        <v>261</v>
      </c>
      <c r="H143" s="7"/>
      <c r="I143" s="84"/>
      <c r="J143" s="84"/>
    </row>
    <row r="144" spans="1:10" s="11" customFormat="1" x14ac:dyDescent="0.25">
      <c r="A144" s="25" t="s">
        <v>381</v>
      </c>
      <c r="B144" s="78" t="s">
        <v>382</v>
      </c>
      <c r="C144" s="79"/>
      <c r="D144" s="22"/>
      <c r="E144" s="22"/>
      <c r="F144" s="80" t="s">
        <v>383</v>
      </c>
      <c r="G144" s="80" t="s">
        <v>129</v>
      </c>
      <c r="H144" s="7"/>
      <c r="I144" s="84"/>
      <c r="J144" s="84"/>
    </row>
    <row r="145" spans="1:10" s="11" customFormat="1" x14ac:dyDescent="0.25">
      <c r="A145" s="25" t="s">
        <v>384</v>
      </c>
      <c r="B145" s="78" t="s">
        <v>385</v>
      </c>
      <c r="C145" s="79"/>
      <c r="D145" s="22"/>
      <c r="E145" s="22"/>
      <c r="F145" s="29" t="s">
        <v>386</v>
      </c>
      <c r="G145" s="80" t="s">
        <v>129</v>
      </c>
      <c r="H145" s="7"/>
      <c r="I145" s="24"/>
      <c r="J145" s="24"/>
    </row>
    <row r="146" spans="1:10" s="11" customFormat="1" x14ac:dyDescent="0.25">
      <c r="A146" s="25" t="s">
        <v>387</v>
      </c>
      <c r="B146" s="78" t="s">
        <v>388</v>
      </c>
      <c r="C146" s="79"/>
      <c r="D146" s="22"/>
      <c r="E146" s="22"/>
      <c r="F146" s="73" t="s">
        <v>386</v>
      </c>
      <c r="G146" s="23" t="s">
        <v>261</v>
      </c>
      <c r="H146" s="7"/>
      <c r="I146" s="24"/>
      <c r="J146" s="24"/>
    </row>
    <row r="147" spans="1:10" s="11" customFormat="1" x14ac:dyDescent="0.25">
      <c r="A147" s="25" t="s">
        <v>389</v>
      </c>
      <c r="B147" s="78" t="s">
        <v>390</v>
      </c>
      <c r="C147" s="79"/>
      <c r="D147" s="22"/>
      <c r="E147" s="22"/>
      <c r="F147" s="80" t="s">
        <v>391</v>
      </c>
      <c r="G147" s="80" t="s">
        <v>129</v>
      </c>
      <c r="H147" s="7"/>
      <c r="I147" s="84"/>
      <c r="J147" s="84"/>
    </row>
    <row r="148" spans="1:10" s="11" customFormat="1" x14ac:dyDescent="0.25">
      <c r="A148" s="25" t="s">
        <v>392</v>
      </c>
      <c r="B148" s="78" t="s">
        <v>393</v>
      </c>
      <c r="C148" s="79"/>
      <c r="D148" s="22"/>
      <c r="E148" s="22"/>
      <c r="F148" s="80" t="s">
        <v>761</v>
      </c>
      <c r="G148" s="80" t="s">
        <v>129</v>
      </c>
      <c r="H148" s="7"/>
      <c r="I148" s="24"/>
      <c r="J148" s="24"/>
    </row>
    <row r="149" spans="1:10" s="11" customFormat="1" x14ac:dyDescent="0.25">
      <c r="A149" s="25" t="s">
        <v>395</v>
      </c>
      <c r="B149" s="78" t="s">
        <v>396</v>
      </c>
      <c r="C149" s="79"/>
      <c r="D149" s="22"/>
      <c r="E149" s="22"/>
      <c r="F149" s="80" t="s">
        <v>397</v>
      </c>
      <c r="G149" s="80" t="s">
        <v>129</v>
      </c>
      <c r="H149" s="7"/>
      <c r="I149" s="24"/>
      <c r="J149" s="24"/>
    </row>
    <row r="150" spans="1:10" s="11" customFormat="1" x14ac:dyDescent="0.25">
      <c r="A150" s="25" t="s">
        <v>398</v>
      </c>
      <c r="B150" s="78" t="s">
        <v>399</v>
      </c>
      <c r="C150" s="79"/>
      <c r="D150" s="22"/>
      <c r="E150" s="22"/>
      <c r="F150" s="80" t="s">
        <v>400</v>
      </c>
      <c r="G150" s="80" t="s">
        <v>129</v>
      </c>
      <c r="H150" s="7"/>
      <c r="I150" s="24"/>
      <c r="J150" s="24"/>
    </row>
    <row r="151" spans="1:10" s="11" customFormat="1" x14ac:dyDescent="0.25">
      <c r="A151" s="25" t="s">
        <v>401</v>
      </c>
      <c r="B151" s="78" t="s">
        <v>402</v>
      </c>
      <c r="C151" s="79"/>
      <c r="D151" s="22"/>
      <c r="E151" s="22"/>
      <c r="F151" s="80" t="s">
        <v>762</v>
      </c>
      <c r="G151" s="73" t="s">
        <v>15</v>
      </c>
      <c r="H151" s="7"/>
      <c r="I151" s="24"/>
      <c r="J151" s="24"/>
    </row>
    <row r="152" spans="1:10" s="11" customFormat="1" x14ac:dyDescent="0.25">
      <c r="A152" s="25" t="s">
        <v>403</v>
      </c>
      <c r="B152" s="78" t="s">
        <v>404</v>
      </c>
      <c r="C152" s="79"/>
      <c r="D152" s="22"/>
      <c r="E152" s="22"/>
      <c r="F152" s="80" t="s">
        <v>405</v>
      </c>
      <c r="G152" s="80" t="s">
        <v>129</v>
      </c>
      <c r="H152" s="7"/>
      <c r="I152" s="24"/>
      <c r="J152" s="24"/>
    </row>
    <row r="153" spans="1:10" s="11" customFormat="1" x14ac:dyDescent="0.25">
      <c r="A153" s="25" t="s">
        <v>406</v>
      </c>
      <c r="B153" s="78" t="s">
        <v>407</v>
      </c>
      <c r="C153" s="79"/>
      <c r="D153" s="22"/>
      <c r="E153" s="22"/>
      <c r="F153" s="80" t="s">
        <v>408</v>
      </c>
      <c r="G153" s="80" t="s">
        <v>129</v>
      </c>
      <c r="H153" s="7"/>
      <c r="I153" s="24"/>
      <c r="J153" s="24"/>
    </row>
    <row r="154" spans="1:10" s="11" customFormat="1" x14ac:dyDescent="0.25">
      <c r="A154" s="25" t="s">
        <v>820</v>
      </c>
      <c r="B154" s="78" t="s">
        <v>821</v>
      </c>
      <c r="C154" s="79"/>
      <c r="D154" s="22"/>
      <c r="E154" s="22"/>
      <c r="F154" s="80" t="s">
        <v>822</v>
      </c>
      <c r="G154" s="80" t="s">
        <v>129</v>
      </c>
      <c r="H154" s="7"/>
      <c r="I154" s="24"/>
      <c r="J154" s="24"/>
    </row>
    <row r="155" spans="1:10" s="11" customFormat="1" x14ac:dyDescent="0.25">
      <c r="A155" s="25" t="s">
        <v>409</v>
      </c>
      <c r="B155" s="78" t="s">
        <v>410</v>
      </c>
      <c r="C155" s="79"/>
      <c r="D155" s="22"/>
      <c r="E155" s="22"/>
      <c r="F155" s="73" t="s">
        <v>720</v>
      </c>
      <c r="G155" s="23" t="s">
        <v>129</v>
      </c>
      <c r="H155" s="7"/>
      <c r="I155" s="24"/>
      <c r="J155" s="24"/>
    </row>
    <row r="156" spans="1:10" s="11" customFormat="1" x14ac:dyDescent="0.25">
      <c r="A156" s="25" t="s">
        <v>411</v>
      </c>
      <c r="B156" s="78" t="s">
        <v>412</v>
      </c>
      <c r="C156" s="79"/>
      <c r="D156" s="22"/>
      <c r="E156" s="22"/>
      <c r="F156" s="29" t="s">
        <v>763</v>
      </c>
      <c r="G156" s="80" t="s">
        <v>129</v>
      </c>
      <c r="H156" s="85"/>
      <c r="I156" s="24"/>
      <c r="J156" s="24"/>
    </row>
    <row r="157" spans="1:10" s="11" customFormat="1" x14ac:dyDescent="0.25">
      <c r="A157" s="25" t="s">
        <v>413</v>
      </c>
      <c r="B157" s="78" t="s">
        <v>414</v>
      </c>
      <c r="C157" s="79"/>
      <c r="D157" s="22"/>
      <c r="E157" s="22"/>
      <c r="F157" s="73" t="s">
        <v>740</v>
      </c>
      <c r="G157" s="80" t="s">
        <v>129</v>
      </c>
      <c r="H157" s="85"/>
      <c r="I157" s="24"/>
      <c r="J157" s="24"/>
    </row>
    <row r="158" spans="1:10" s="11" customFormat="1" x14ac:dyDescent="0.25">
      <c r="A158" s="25" t="s">
        <v>415</v>
      </c>
      <c r="B158" s="78" t="s">
        <v>416</v>
      </c>
      <c r="C158" s="79"/>
      <c r="D158" s="22"/>
      <c r="E158" s="22"/>
      <c r="F158" s="73" t="s">
        <v>740</v>
      </c>
      <c r="G158" s="23" t="s">
        <v>261</v>
      </c>
      <c r="H158" s="7"/>
      <c r="I158" s="24"/>
      <c r="J158" s="24"/>
    </row>
    <row r="159" spans="1:10" s="11" customFormat="1" x14ac:dyDescent="0.25">
      <c r="A159" s="25" t="s">
        <v>417</v>
      </c>
      <c r="B159" s="78" t="s">
        <v>418</v>
      </c>
      <c r="C159" s="79"/>
      <c r="D159" s="22"/>
      <c r="E159" s="22"/>
      <c r="F159" s="73" t="s">
        <v>721</v>
      </c>
      <c r="G159" s="23" t="s">
        <v>261</v>
      </c>
      <c r="H159" s="7"/>
      <c r="I159" s="24"/>
      <c r="J159" s="24"/>
    </row>
    <row r="160" spans="1:10" s="11" customFormat="1" x14ac:dyDescent="0.25">
      <c r="A160" s="25" t="s">
        <v>419</v>
      </c>
      <c r="B160" s="78" t="s">
        <v>420</v>
      </c>
      <c r="C160" s="79"/>
      <c r="D160" s="22"/>
      <c r="E160" s="22"/>
      <c r="F160" s="73" t="s">
        <v>722</v>
      </c>
      <c r="G160" s="23" t="s">
        <v>261</v>
      </c>
      <c r="H160" s="7"/>
      <c r="I160" s="24"/>
      <c r="J160" s="24"/>
    </row>
    <row r="161" spans="1:10" s="11" customFormat="1" x14ac:dyDescent="0.25">
      <c r="A161" s="25" t="s">
        <v>823</v>
      </c>
      <c r="B161" s="78" t="s">
        <v>824</v>
      </c>
      <c r="C161" s="79"/>
      <c r="D161" s="22"/>
      <c r="E161" s="22"/>
      <c r="F161" s="73" t="s">
        <v>722</v>
      </c>
      <c r="G161" s="23" t="s">
        <v>261</v>
      </c>
      <c r="H161" s="7"/>
      <c r="I161" s="24"/>
      <c r="J161" s="24"/>
    </row>
    <row r="162" spans="1:10" s="11" customFormat="1" x14ac:dyDescent="0.25">
      <c r="A162" s="25" t="s">
        <v>421</v>
      </c>
      <c r="B162" s="78" t="s">
        <v>422</v>
      </c>
      <c r="C162" s="79"/>
      <c r="D162" s="22"/>
      <c r="E162" s="22"/>
      <c r="F162" s="29" t="s">
        <v>764</v>
      </c>
      <c r="G162" s="80" t="s">
        <v>129</v>
      </c>
      <c r="H162" s="7"/>
      <c r="I162" s="24"/>
      <c r="J162" s="24"/>
    </row>
    <row r="163" spans="1:10" s="11" customFormat="1" x14ac:dyDescent="0.25">
      <c r="A163" s="25" t="s">
        <v>423</v>
      </c>
      <c r="B163" s="78" t="s">
        <v>424</v>
      </c>
      <c r="C163" s="79"/>
      <c r="D163" s="22"/>
      <c r="E163" s="22"/>
      <c r="F163" s="80" t="s">
        <v>765</v>
      </c>
      <c r="G163" s="80" t="s">
        <v>129</v>
      </c>
      <c r="H163" s="7"/>
      <c r="I163" s="24"/>
      <c r="J163" s="24"/>
    </row>
    <row r="164" spans="1:10" s="11" customFormat="1" x14ac:dyDescent="0.25">
      <c r="A164" s="25" t="s">
        <v>426</v>
      </c>
      <c r="B164" s="78" t="s">
        <v>427</v>
      </c>
      <c r="C164" s="79"/>
      <c r="D164" s="22"/>
      <c r="E164" s="22"/>
      <c r="F164" s="73" t="s">
        <v>766</v>
      </c>
      <c r="G164" s="23" t="s">
        <v>261</v>
      </c>
      <c r="H164" s="7"/>
      <c r="I164" s="24"/>
      <c r="J164" s="24"/>
    </row>
    <row r="165" spans="1:10" s="11" customFormat="1" x14ac:dyDescent="0.25">
      <c r="A165" s="25" t="s">
        <v>428</v>
      </c>
      <c r="B165" s="78" t="s">
        <v>429</v>
      </c>
      <c r="C165" s="79"/>
      <c r="D165" s="22"/>
      <c r="E165" s="22"/>
      <c r="F165" s="73" t="s">
        <v>766</v>
      </c>
      <c r="G165" s="23" t="s">
        <v>261</v>
      </c>
      <c r="H165" s="7"/>
      <c r="I165" s="24"/>
      <c r="J165" s="24"/>
    </row>
    <row r="166" spans="1:10" s="11" customFormat="1" x14ac:dyDescent="0.25">
      <c r="A166" s="25" t="s">
        <v>430</v>
      </c>
      <c r="B166" s="78" t="s">
        <v>431</v>
      </c>
      <c r="C166" s="79"/>
      <c r="D166" s="22"/>
      <c r="E166" s="22"/>
      <c r="F166" s="80" t="s">
        <v>432</v>
      </c>
      <c r="G166" s="73" t="s">
        <v>261</v>
      </c>
      <c r="H166" s="7"/>
      <c r="I166" s="24"/>
      <c r="J166" s="24"/>
    </row>
    <row r="167" spans="1:10" s="11" customFormat="1" x14ac:dyDescent="0.25">
      <c r="A167" s="25" t="s">
        <v>433</v>
      </c>
      <c r="B167" s="78" t="s">
        <v>434</v>
      </c>
      <c r="C167" s="79"/>
      <c r="D167" s="22"/>
      <c r="E167" s="22"/>
      <c r="F167" s="80" t="s">
        <v>435</v>
      </c>
      <c r="G167" s="73" t="s">
        <v>261</v>
      </c>
      <c r="H167" s="7"/>
      <c r="I167" s="24"/>
      <c r="J167" s="24"/>
    </row>
    <row r="168" spans="1:10" s="11" customFormat="1" x14ac:dyDescent="0.25">
      <c r="A168" s="25" t="s">
        <v>436</v>
      </c>
      <c r="B168" s="78" t="s">
        <v>437</v>
      </c>
      <c r="C168" s="79"/>
      <c r="D168" s="22"/>
      <c r="E168" s="22"/>
      <c r="F168" s="73" t="s">
        <v>723</v>
      </c>
      <c r="G168" s="23" t="s">
        <v>261</v>
      </c>
      <c r="H168" s="7"/>
      <c r="I168" s="24"/>
      <c r="J168" s="24"/>
    </row>
    <row r="169" spans="1:10" s="11" customFormat="1" x14ac:dyDescent="0.25">
      <c r="A169" s="25" t="s">
        <v>438</v>
      </c>
      <c r="B169" s="78" t="s">
        <v>439</v>
      </c>
      <c r="C169" s="79"/>
      <c r="D169" s="22"/>
      <c r="E169" s="22"/>
      <c r="F169" s="73" t="s">
        <v>724</v>
      </c>
      <c r="G169" s="23" t="s">
        <v>261</v>
      </c>
      <c r="H169" s="7"/>
      <c r="I169" s="24"/>
      <c r="J169" s="24"/>
    </row>
    <row r="170" spans="1:10" s="11" customFormat="1" x14ac:dyDescent="0.25">
      <c r="A170" s="25" t="s">
        <v>440</v>
      </c>
      <c r="B170" s="78" t="s">
        <v>441</v>
      </c>
      <c r="C170" s="79"/>
      <c r="D170" s="22"/>
      <c r="E170" s="22"/>
      <c r="F170" s="73" t="s">
        <v>724</v>
      </c>
      <c r="G170" s="23" t="s">
        <v>261</v>
      </c>
      <c r="H170" s="7"/>
      <c r="I170" s="24"/>
      <c r="J170" s="24"/>
    </row>
    <row r="171" spans="1:10" s="11" customFormat="1" x14ac:dyDescent="0.25">
      <c r="A171" s="25" t="s">
        <v>442</v>
      </c>
      <c r="B171" s="78" t="s">
        <v>443</v>
      </c>
      <c r="C171" s="79"/>
      <c r="D171" s="22"/>
      <c r="E171" s="22"/>
      <c r="F171" s="86" t="s">
        <v>444</v>
      </c>
      <c r="G171" s="73" t="s">
        <v>261</v>
      </c>
      <c r="H171" s="7"/>
      <c r="I171" s="24"/>
      <c r="J171" s="24"/>
    </row>
    <row r="172" spans="1:10" s="11" customFormat="1" x14ac:dyDescent="0.25">
      <c r="A172" s="25" t="s">
        <v>445</v>
      </c>
      <c r="B172" s="78" t="s">
        <v>446</v>
      </c>
      <c r="C172" s="79"/>
      <c r="D172" s="22"/>
      <c r="E172" s="22"/>
      <c r="F172" s="80" t="s">
        <v>725</v>
      </c>
      <c r="G172" s="73" t="s">
        <v>261</v>
      </c>
      <c r="H172" s="7"/>
      <c r="I172" s="24"/>
      <c r="J172" s="24"/>
    </row>
    <row r="173" spans="1:10" s="11" customFormat="1" x14ac:dyDescent="0.25">
      <c r="A173" s="25" t="s">
        <v>447</v>
      </c>
      <c r="B173" s="78" t="s">
        <v>448</v>
      </c>
      <c r="C173" s="79"/>
      <c r="D173" s="22"/>
      <c r="E173" s="22"/>
      <c r="F173" s="73" t="s">
        <v>713</v>
      </c>
      <c r="G173" s="23" t="s">
        <v>261</v>
      </c>
      <c r="H173" s="7"/>
      <c r="I173" s="24"/>
      <c r="J173" s="24"/>
    </row>
    <row r="174" spans="1:10" s="11" customFormat="1" x14ac:dyDescent="0.25">
      <c r="A174" s="25" t="s">
        <v>449</v>
      </c>
      <c r="B174" s="78" t="s">
        <v>450</v>
      </c>
      <c r="C174" s="79"/>
      <c r="D174" s="22"/>
      <c r="E174" s="22"/>
      <c r="F174" s="80" t="s">
        <v>451</v>
      </c>
      <c r="G174" s="73" t="s">
        <v>261</v>
      </c>
      <c r="H174" s="7"/>
      <c r="I174" s="24"/>
      <c r="J174" s="24"/>
    </row>
    <row r="175" spans="1:10" s="11" customFormat="1" x14ac:dyDescent="0.25">
      <c r="A175" s="25" t="s">
        <v>452</v>
      </c>
      <c r="B175" s="78" t="s">
        <v>453</v>
      </c>
      <c r="C175" s="79"/>
      <c r="D175" s="22"/>
      <c r="E175" s="22"/>
      <c r="F175" s="73" t="s">
        <v>726</v>
      </c>
      <c r="G175" s="23" t="s">
        <v>261</v>
      </c>
      <c r="H175" s="7"/>
      <c r="I175" s="24"/>
      <c r="J175" s="24"/>
    </row>
    <row r="176" spans="1:10" s="11" customFormat="1" x14ac:dyDescent="0.25">
      <c r="A176" s="25" t="s">
        <v>454</v>
      </c>
      <c r="B176" s="78" t="s">
        <v>455</v>
      </c>
      <c r="C176" s="79"/>
      <c r="D176" s="22"/>
      <c r="E176" s="22"/>
      <c r="F176" s="73" t="s">
        <v>767</v>
      </c>
      <c r="G176" s="23" t="s">
        <v>261</v>
      </c>
      <c r="H176" s="7"/>
      <c r="I176" s="24"/>
      <c r="J176" s="24"/>
    </row>
    <row r="177" spans="1:10" s="11" customFormat="1" x14ac:dyDescent="0.25">
      <c r="A177" s="25" t="s">
        <v>813</v>
      </c>
      <c r="B177" s="78" t="s">
        <v>814</v>
      </c>
      <c r="C177" s="79"/>
      <c r="D177" s="22"/>
      <c r="E177" s="22"/>
      <c r="F177" s="73" t="s">
        <v>767</v>
      </c>
      <c r="G177" s="23" t="s">
        <v>261</v>
      </c>
      <c r="H177" s="7"/>
      <c r="I177" s="24"/>
      <c r="J177" s="24"/>
    </row>
    <row r="178" spans="1:10" s="11" customFormat="1" x14ac:dyDescent="0.25">
      <c r="A178" s="25" t="s">
        <v>456</v>
      </c>
      <c r="B178" s="78" t="s">
        <v>457</v>
      </c>
      <c r="C178" s="79"/>
      <c r="D178" s="22"/>
      <c r="E178" s="22"/>
      <c r="F178" s="73" t="s">
        <v>741</v>
      </c>
      <c r="G178" s="23" t="s">
        <v>261</v>
      </c>
      <c r="H178" s="7"/>
      <c r="I178" s="24"/>
      <c r="J178" s="24"/>
    </row>
    <row r="179" spans="1:10" s="11" customFormat="1" x14ac:dyDescent="0.25">
      <c r="A179" s="25" t="s">
        <v>458</v>
      </c>
      <c r="B179" s="78" t="s">
        <v>459</v>
      </c>
      <c r="C179" s="79"/>
      <c r="D179" s="22"/>
      <c r="E179" s="22"/>
      <c r="F179" s="73" t="s">
        <v>741</v>
      </c>
      <c r="G179" s="23" t="s">
        <v>261</v>
      </c>
      <c r="H179" s="7"/>
      <c r="I179" s="24"/>
      <c r="J179" s="24"/>
    </row>
    <row r="180" spans="1:10" s="11" customFormat="1" x14ac:dyDescent="0.25">
      <c r="A180" s="25" t="s">
        <v>460</v>
      </c>
      <c r="B180" s="78" t="s">
        <v>461</v>
      </c>
      <c r="C180" s="79"/>
      <c r="D180" s="22"/>
      <c r="E180" s="22"/>
      <c r="F180" s="80" t="s">
        <v>777</v>
      </c>
      <c r="G180" s="73" t="s">
        <v>261</v>
      </c>
      <c r="H180" s="7"/>
      <c r="I180" s="24"/>
      <c r="J180" s="24"/>
    </row>
    <row r="181" spans="1:10" s="11" customFormat="1" x14ac:dyDescent="0.25">
      <c r="A181" s="25" t="s">
        <v>463</v>
      </c>
      <c r="B181" s="78" t="s">
        <v>464</v>
      </c>
      <c r="C181" s="79"/>
      <c r="D181" s="22"/>
      <c r="E181" s="22"/>
      <c r="F181" s="80" t="s">
        <v>778</v>
      </c>
      <c r="G181" s="73" t="s">
        <v>261</v>
      </c>
      <c r="H181" s="7"/>
      <c r="I181" s="24"/>
      <c r="J181" s="24"/>
    </row>
    <row r="182" spans="1:10" s="11" customFormat="1" x14ac:dyDescent="0.25">
      <c r="A182" s="25" t="s">
        <v>466</v>
      </c>
      <c r="B182" s="78" t="s">
        <v>467</v>
      </c>
      <c r="C182" s="79"/>
      <c r="D182" s="22"/>
      <c r="E182" s="22"/>
      <c r="F182" s="80" t="s">
        <v>779</v>
      </c>
      <c r="G182" s="80" t="s">
        <v>129</v>
      </c>
      <c r="H182" s="7"/>
      <c r="I182" s="24"/>
      <c r="J182" s="24"/>
    </row>
    <row r="183" spans="1:10" s="11" customFormat="1" x14ac:dyDescent="0.25">
      <c r="A183" s="25" t="s">
        <v>469</v>
      </c>
      <c r="B183" s="78" t="s">
        <v>470</v>
      </c>
      <c r="C183" s="79"/>
      <c r="D183" s="22"/>
      <c r="E183" s="22"/>
      <c r="F183" s="73" t="s">
        <v>742</v>
      </c>
      <c r="G183" s="23" t="s">
        <v>261</v>
      </c>
      <c r="H183" s="7"/>
      <c r="I183" s="24"/>
      <c r="J183" s="24"/>
    </row>
    <row r="184" spans="1:10" s="11" customFormat="1" x14ac:dyDescent="0.25">
      <c r="A184" s="25" t="s">
        <v>471</v>
      </c>
      <c r="B184" s="78" t="s">
        <v>472</v>
      </c>
      <c r="C184" s="79"/>
      <c r="D184" s="22"/>
      <c r="E184" s="22"/>
      <c r="F184" s="80" t="s">
        <v>473</v>
      </c>
      <c r="G184" s="80" t="s">
        <v>129</v>
      </c>
      <c r="H184" s="7"/>
      <c r="I184" s="24"/>
      <c r="J184" s="24"/>
    </row>
    <row r="185" spans="1:10" s="11" customFormat="1" ht="18.75" x14ac:dyDescent="0.25">
      <c r="A185" s="25" t="s">
        <v>474</v>
      </c>
      <c r="B185" s="78" t="s">
        <v>475</v>
      </c>
      <c r="C185" s="79"/>
      <c r="D185" s="22"/>
      <c r="E185" s="22"/>
      <c r="F185" s="73" t="s">
        <v>727</v>
      </c>
      <c r="G185" s="23" t="s">
        <v>261</v>
      </c>
      <c r="H185" s="87"/>
      <c r="I185" s="24"/>
      <c r="J185" s="24"/>
    </row>
    <row r="186" spans="1:10" s="11" customFormat="1" x14ac:dyDescent="0.25">
      <c r="A186" s="25" t="s">
        <v>476</v>
      </c>
      <c r="B186" s="78" t="s">
        <v>477</v>
      </c>
      <c r="C186" s="79"/>
      <c r="D186" s="22"/>
      <c r="E186" s="22"/>
      <c r="F186" s="73" t="s">
        <v>727</v>
      </c>
      <c r="G186" s="23" t="s">
        <v>261</v>
      </c>
      <c r="H186" s="7"/>
      <c r="I186" s="24"/>
      <c r="J186" s="24"/>
    </row>
    <row r="187" spans="1:10" s="11" customFormat="1" x14ac:dyDescent="0.25">
      <c r="A187" s="25" t="s">
        <v>478</v>
      </c>
      <c r="B187" s="78" t="s">
        <v>479</v>
      </c>
      <c r="C187" s="79"/>
      <c r="D187" s="22"/>
      <c r="E187" s="22"/>
      <c r="F187" s="73" t="s">
        <v>728</v>
      </c>
      <c r="G187" s="23" t="s">
        <v>261</v>
      </c>
      <c r="H187" s="7"/>
      <c r="I187" s="24"/>
      <c r="J187" s="24"/>
    </row>
    <row r="188" spans="1:10" s="11" customFormat="1" x14ac:dyDescent="0.25">
      <c r="A188" s="25" t="s">
        <v>480</v>
      </c>
      <c r="B188" s="78" t="s">
        <v>481</v>
      </c>
      <c r="C188" s="79"/>
      <c r="D188" s="22"/>
      <c r="E188" s="22"/>
      <c r="F188" s="80" t="s">
        <v>776</v>
      </c>
      <c r="G188" s="80" t="s">
        <v>129</v>
      </c>
      <c r="H188" s="7"/>
      <c r="I188" s="24"/>
      <c r="J188" s="24"/>
    </row>
    <row r="189" spans="1:10" s="11" customFormat="1" x14ac:dyDescent="0.25">
      <c r="A189" s="25" t="s">
        <v>483</v>
      </c>
      <c r="B189" s="78" t="s">
        <v>484</v>
      </c>
      <c r="C189" s="79"/>
      <c r="D189" s="22"/>
      <c r="E189" s="22"/>
      <c r="F189" s="73" t="s">
        <v>712</v>
      </c>
      <c r="G189" s="23" t="s">
        <v>261</v>
      </c>
      <c r="H189" s="7"/>
      <c r="I189" s="24"/>
      <c r="J189" s="24"/>
    </row>
    <row r="190" spans="1:10" s="11" customFormat="1" x14ac:dyDescent="0.25">
      <c r="A190" s="25" t="s">
        <v>485</v>
      </c>
      <c r="B190" s="78" t="s">
        <v>486</v>
      </c>
      <c r="C190" s="79"/>
      <c r="D190" s="22"/>
      <c r="E190" s="22"/>
      <c r="F190" s="80" t="s">
        <v>487</v>
      </c>
      <c r="G190" s="73" t="s">
        <v>261</v>
      </c>
      <c r="H190" s="7"/>
      <c r="I190" s="24"/>
      <c r="J190" s="24"/>
    </row>
    <row r="191" spans="1:10" s="11" customFormat="1" x14ac:dyDescent="0.25">
      <c r="A191" s="25" t="s">
        <v>488</v>
      </c>
      <c r="B191" s="78" t="s">
        <v>489</v>
      </c>
      <c r="C191" s="79"/>
      <c r="D191" s="22"/>
      <c r="E191" s="22"/>
      <c r="F191" s="80" t="s">
        <v>490</v>
      </c>
      <c r="G191" s="73" t="s">
        <v>261</v>
      </c>
      <c r="H191" s="7"/>
      <c r="I191" s="24"/>
      <c r="J191" s="24"/>
    </row>
    <row r="192" spans="1:10" s="11" customFormat="1" x14ac:dyDescent="0.25">
      <c r="A192" s="25" t="s">
        <v>491</v>
      </c>
      <c r="B192" s="78" t="s">
        <v>492</v>
      </c>
      <c r="C192" s="79"/>
      <c r="D192" s="22"/>
      <c r="E192" s="22"/>
      <c r="F192" s="80" t="s">
        <v>493</v>
      </c>
      <c r="G192" s="73" t="s">
        <v>261</v>
      </c>
      <c r="H192" s="7"/>
      <c r="I192" s="24"/>
      <c r="J192" s="24"/>
    </row>
    <row r="193" spans="1:10" s="11" customFormat="1" x14ac:dyDescent="0.25">
      <c r="A193" s="25" t="s">
        <v>494</v>
      </c>
      <c r="B193" s="78" t="s">
        <v>495</v>
      </c>
      <c r="C193" s="79"/>
      <c r="D193" s="22"/>
      <c r="E193" s="22"/>
      <c r="F193" s="73" t="s">
        <v>729</v>
      </c>
      <c r="G193" s="23" t="s">
        <v>261</v>
      </c>
      <c r="H193" s="7"/>
      <c r="I193" s="24"/>
      <c r="J193" s="24"/>
    </row>
    <row r="194" spans="1:10" s="11" customFormat="1" x14ac:dyDescent="0.25">
      <c r="A194" s="25" t="s">
        <v>496</v>
      </c>
      <c r="B194" s="78" t="s">
        <v>497</v>
      </c>
      <c r="C194" s="79"/>
      <c r="D194" s="22"/>
      <c r="E194" s="22"/>
      <c r="F194" s="73" t="s">
        <v>730</v>
      </c>
      <c r="G194" s="23" t="s">
        <v>261</v>
      </c>
      <c r="H194" s="7"/>
      <c r="I194" s="24"/>
      <c r="J194" s="24"/>
    </row>
    <row r="195" spans="1:10" s="11" customFormat="1" x14ac:dyDescent="0.25">
      <c r="A195" s="25" t="s">
        <v>498</v>
      </c>
      <c r="B195" s="78" t="s">
        <v>499</v>
      </c>
      <c r="C195" s="79"/>
      <c r="D195" s="22"/>
      <c r="E195" s="22"/>
      <c r="F195" s="73" t="s">
        <v>731</v>
      </c>
      <c r="G195" s="23" t="s">
        <v>261</v>
      </c>
      <c r="H195" s="7"/>
      <c r="I195" s="24"/>
      <c r="J195" s="24"/>
    </row>
    <row r="196" spans="1:10" s="11" customFormat="1" x14ac:dyDescent="0.25">
      <c r="A196" s="25" t="s">
        <v>500</v>
      </c>
      <c r="B196" s="78" t="s">
        <v>501</v>
      </c>
      <c r="C196" s="79"/>
      <c r="D196" s="22"/>
      <c r="E196" s="22"/>
      <c r="F196" s="73" t="s">
        <v>732</v>
      </c>
      <c r="G196" s="23" t="s">
        <v>261</v>
      </c>
      <c r="H196" s="7"/>
      <c r="I196" s="24"/>
      <c r="J196" s="24"/>
    </row>
    <row r="197" spans="1:10" s="11" customFormat="1" x14ac:dyDescent="0.25">
      <c r="A197" s="25" t="s">
        <v>502</v>
      </c>
      <c r="B197" s="78" t="s">
        <v>503</v>
      </c>
      <c r="C197" s="79"/>
      <c r="D197" s="22"/>
      <c r="E197" s="22"/>
      <c r="F197" s="73" t="s">
        <v>733</v>
      </c>
      <c r="G197" s="23" t="s">
        <v>261</v>
      </c>
      <c r="H197" s="7"/>
      <c r="I197" s="24"/>
      <c r="J197" s="24"/>
    </row>
    <row r="198" spans="1:10" s="11" customFormat="1" x14ac:dyDescent="0.25">
      <c r="A198" s="25" t="s">
        <v>504</v>
      </c>
      <c r="B198" s="78" t="s">
        <v>505</v>
      </c>
      <c r="C198" s="79"/>
      <c r="D198" s="22"/>
      <c r="E198" s="22"/>
      <c r="F198" s="29" t="s">
        <v>506</v>
      </c>
      <c r="G198" s="23" t="s">
        <v>261</v>
      </c>
      <c r="H198" s="7"/>
      <c r="I198" s="24"/>
      <c r="J198" s="24"/>
    </row>
    <row r="199" spans="1:10" s="11" customFormat="1" ht="18.75" x14ac:dyDescent="0.25">
      <c r="A199" s="25" t="s">
        <v>507</v>
      </c>
      <c r="B199" s="78" t="s">
        <v>508</v>
      </c>
      <c r="C199" s="79"/>
      <c r="D199" s="22"/>
      <c r="E199" s="22"/>
      <c r="F199" s="73" t="s">
        <v>734</v>
      </c>
      <c r="G199" s="23" t="s">
        <v>261</v>
      </c>
      <c r="H199" s="88"/>
      <c r="I199" s="24"/>
      <c r="J199" s="24"/>
    </row>
    <row r="200" spans="1:10" s="11" customFormat="1" x14ac:dyDescent="0.25">
      <c r="A200" s="25" t="s">
        <v>509</v>
      </c>
      <c r="B200" s="78" t="s">
        <v>510</v>
      </c>
      <c r="C200" s="79"/>
      <c r="D200" s="22"/>
      <c r="E200" s="22"/>
      <c r="F200" s="80" t="s">
        <v>511</v>
      </c>
      <c r="G200" s="73" t="s">
        <v>261</v>
      </c>
      <c r="H200" s="7"/>
      <c r="I200" s="24"/>
      <c r="J200" s="24"/>
    </row>
    <row r="201" spans="1:10" s="11" customFormat="1" x14ac:dyDescent="0.25">
      <c r="A201" s="25" t="s">
        <v>512</v>
      </c>
      <c r="B201" s="78" t="s">
        <v>513</v>
      </c>
      <c r="C201" s="79"/>
      <c r="D201" s="22"/>
      <c r="E201" s="22"/>
      <c r="F201" s="73" t="s">
        <v>743</v>
      </c>
      <c r="G201" s="23" t="s">
        <v>261</v>
      </c>
      <c r="H201" s="7"/>
      <c r="I201" s="24"/>
      <c r="J201" s="24"/>
    </row>
    <row r="202" spans="1:10" s="11" customFormat="1" x14ac:dyDescent="0.25">
      <c r="A202" s="25" t="s">
        <v>514</v>
      </c>
      <c r="B202" s="78" t="s">
        <v>515</v>
      </c>
      <c r="C202" s="79"/>
      <c r="D202" s="22"/>
      <c r="E202" s="22"/>
      <c r="F202" s="80" t="s">
        <v>516</v>
      </c>
      <c r="G202" s="73" t="s">
        <v>261</v>
      </c>
      <c r="H202" s="7"/>
      <c r="I202" s="24"/>
      <c r="J202" s="24"/>
    </row>
    <row r="203" spans="1:10" s="11" customFormat="1" x14ac:dyDescent="0.25">
      <c r="A203" s="25" t="s">
        <v>517</v>
      </c>
      <c r="B203" s="78" t="s">
        <v>518</v>
      </c>
      <c r="C203" s="79"/>
      <c r="D203" s="22"/>
      <c r="E203" s="22"/>
      <c r="F203" s="73" t="s">
        <v>768</v>
      </c>
      <c r="G203" s="23" t="s">
        <v>261</v>
      </c>
      <c r="H203" s="7"/>
      <c r="I203" s="24"/>
      <c r="J203" s="24"/>
    </row>
    <row r="204" spans="1:10" s="11" customFormat="1" x14ac:dyDescent="0.25">
      <c r="A204" s="25" t="s">
        <v>519</v>
      </c>
      <c r="B204" s="78" t="s">
        <v>520</v>
      </c>
      <c r="C204" s="79"/>
      <c r="D204" s="22"/>
      <c r="E204" s="22"/>
      <c r="F204" s="73" t="s">
        <v>523</v>
      </c>
      <c r="G204" s="23" t="s">
        <v>261</v>
      </c>
      <c r="H204" s="7"/>
      <c r="I204" s="24"/>
      <c r="J204" s="24"/>
    </row>
    <row r="205" spans="1:10" s="11" customFormat="1" x14ac:dyDescent="0.25">
      <c r="A205" s="25" t="s">
        <v>521</v>
      </c>
      <c r="B205" s="78" t="s">
        <v>522</v>
      </c>
      <c r="C205" s="79"/>
      <c r="D205" s="22"/>
      <c r="E205" s="22"/>
      <c r="F205" s="80" t="s">
        <v>523</v>
      </c>
      <c r="G205" s="80" t="s">
        <v>129</v>
      </c>
      <c r="H205" s="7"/>
      <c r="I205" s="24"/>
      <c r="J205" s="24"/>
    </row>
    <row r="206" spans="1:10" s="11" customFormat="1" x14ac:dyDescent="0.25">
      <c r="A206" s="25" t="s">
        <v>524</v>
      </c>
      <c r="B206" s="78" t="s">
        <v>525</v>
      </c>
      <c r="C206" s="79"/>
      <c r="D206" s="22"/>
      <c r="E206" s="22"/>
      <c r="F206" s="73" t="s">
        <v>769</v>
      </c>
      <c r="G206" s="23" t="s">
        <v>261</v>
      </c>
      <c r="H206" s="7"/>
      <c r="I206" s="24"/>
      <c r="J206" s="24"/>
    </row>
    <row r="207" spans="1:10" s="11" customFormat="1" x14ac:dyDescent="0.25">
      <c r="A207" s="25" t="s">
        <v>526</v>
      </c>
      <c r="B207" s="78" t="s">
        <v>527</v>
      </c>
      <c r="C207" s="79"/>
      <c r="D207" s="22"/>
      <c r="E207" s="22"/>
      <c r="F207" s="73" t="s">
        <v>769</v>
      </c>
      <c r="G207" s="80" t="s">
        <v>261</v>
      </c>
      <c r="H207" s="7"/>
      <c r="I207" s="24"/>
      <c r="J207" s="24"/>
    </row>
    <row r="208" spans="1:10" s="11" customFormat="1" x14ac:dyDescent="0.25">
      <c r="A208" s="25" t="s">
        <v>528</v>
      </c>
      <c r="B208" s="78" t="s">
        <v>529</v>
      </c>
      <c r="C208" s="79"/>
      <c r="D208" s="22"/>
      <c r="E208" s="22"/>
      <c r="F208" s="80" t="s">
        <v>530</v>
      </c>
      <c r="G208" s="73" t="s">
        <v>261</v>
      </c>
      <c r="H208" s="7"/>
      <c r="I208" s="24"/>
      <c r="J208" s="24"/>
    </row>
    <row r="209" spans="1:10" s="11" customFormat="1" x14ac:dyDescent="0.25">
      <c r="A209" s="25" t="s">
        <v>531</v>
      </c>
      <c r="B209" s="78" t="s">
        <v>532</v>
      </c>
      <c r="C209" s="79"/>
      <c r="D209" s="22"/>
      <c r="E209" s="22"/>
      <c r="F209" s="80" t="s">
        <v>533</v>
      </c>
      <c r="G209" s="73" t="s">
        <v>261</v>
      </c>
      <c r="H209" s="7"/>
      <c r="I209" s="24"/>
      <c r="J209" s="24"/>
    </row>
    <row r="210" spans="1:10" s="11" customFormat="1" x14ac:dyDescent="0.25">
      <c r="A210" s="25" t="s">
        <v>534</v>
      </c>
      <c r="B210" s="78" t="s">
        <v>535</v>
      </c>
      <c r="C210" s="79"/>
      <c r="D210" s="22"/>
      <c r="E210" s="22"/>
      <c r="F210" s="80" t="s">
        <v>536</v>
      </c>
      <c r="G210" s="80" t="s">
        <v>129</v>
      </c>
      <c r="H210" s="7"/>
      <c r="I210" s="24"/>
      <c r="J210" s="24"/>
    </row>
    <row r="211" spans="1:10" s="11" customFormat="1" x14ac:dyDescent="0.25">
      <c r="A211" s="25" t="s">
        <v>537</v>
      </c>
      <c r="B211" s="78" t="s">
        <v>538</v>
      </c>
      <c r="C211" s="79"/>
      <c r="D211" s="22"/>
      <c r="E211" s="22"/>
      <c r="F211" s="80" t="s">
        <v>539</v>
      </c>
      <c r="G211" s="73" t="s">
        <v>261</v>
      </c>
      <c r="H211" s="7"/>
      <c r="I211" s="24"/>
      <c r="J211" s="24"/>
    </row>
    <row r="212" spans="1:10" s="11" customFormat="1" x14ac:dyDescent="0.25">
      <c r="A212" s="25" t="s">
        <v>540</v>
      </c>
      <c r="B212" s="78" t="s">
        <v>541</v>
      </c>
      <c r="C212" s="79"/>
      <c r="D212" s="22"/>
      <c r="E212" s="22"/>
      <c r="F212" s="29" t="s">
        <v>770</v>
      </c>
      <c r="G212" s="23" t="s">
        <v>129</v>
      </c>
      <c r="H212" s="7"/>
      <c r="I212" s="24"/>
      <c r="J212" s="24"/>
    </row>
    <row r="213" spans="1:10" s="11" customFormat="1" x14ac:dyDescent="0.25">
      <c r="A213" s="25" t="s">
        <v>542</v>
      </c>
      <c r="B213" s="78" t="s">
        <v>543</v>
      </c>
      <c r="C213" s="79"/>
      <c r="D213" s="22"/>
      <c r="E213" s="22"/>
      <c r="F213" s="73" t="s">
        <v>715</v>
      </c>
      <c r="G213" s="23" t="s">
        <v>261</v>
      </c>
      <c r="H213" s="7"/>
      <c r="I213" s="24"/>
      <c r="J213" s="24"/>
    </row>
    <row r="214" spans="1:10" s="11" customFormat="1" x14ac:dyDescent="0.25">
      <c r="A214" s="25" t="s">
        <v>544</v>
      </c>
      <c r="B214" s="78" t="s">
        <v>545</v>
      </c>
      <c r="C214" s="79"/>
      <c r="D214" s="22"/>
      <c r="E214" s="22"/>
      <c r="F214" s="73" t="s">
        <v>715</v>
      </c>
      <c r="G214" s="23" t="s">
        <v>261</v>
      </c>
      <c r="H214" s="7"/>
      <c r="I214" s="24"/>
      <c r="J214" s="24"/>
    </row>
    <row r="215" spans="1:10" s="11" customFormat="1" x14ac:dyDescent="0.25">
      <c r="A215" s="25" t="s">
        <v>546</v>
      </c>
      <c r="B215" s="78" t="s">
        <v>547</v>
      </c>
      <c r="C215" s="79"/>
      <c r="D215" s="22"/>
      <c r="E215" s="22"/>
      <c r="F215" s="73" t="s">
        <v>744</v>
      </c>
      <c r="G215" s="23" t="s">
        <v>261</v>
      </c>
      <c r="H215" s="7"/>
      <c r="I215" s="24"/>
      <c r="J215" s="24"/>
    </row>
    <row r="216" spans="1:10" s="11" customFormat="1" x14ac:dyDescent="0.25">
      <c r="A216" s="25" t="s">
        <v>548</v>
      </c>
      <c r="B216" s="78" t="s">
        <v>549</v>
      </c>
      <c r="C216" s="79"/>
      <c r="D216" s="22"/>
      <c r="E216" s="22"/>
      <c r="F216" s="73" t="s">
        <v>745</v>
      </c>
      <c r="G216" s="23" t="s">
        <v>261</v>
      </c>
      <c r="H216" s="7"/>
      <c r="I216" s="24"/>
      <c r="J216" s="24"/>
    </row>
    <row r="217" spans="1:10" s="11" customFormat="1" x14ac:dyDescent="0.25">
      <c r="A217" s="25" t="s">
        <v>550</v>
      </c>
      <c r="B217" s="78" t="s">
        <v>551</v>
      </c>
      <c r="C217" s="79"/>
      <c r="D217" s="22"/>
      <c r="E217" s="22"/>
      <c r="F217" s="73" t="s">
        <v>746</v>
      </c>
      <c r="G217" s="23" t="s">
        <v>261</v>
      </c>
      <c r="H217" s="7"/>
      <c r="I217" s="24"/>
      <c r="J217" s="24"/>
    </row>
    <row r="218" spans="1:10" s="11" customFormat="1" x14ac:dyDescent="0.25">
      <c r="A218" s="25" t="s">
        <v>552</v>
      </c>
      <c r="B218" s="78" t="s">
        <v>553</v>
      </c>
      <c r="C218" s="79"/>
      <c r="D218" s="22"/>
      <c r="E218" s="22"/>
      <c r="F218" s="73" t="s">
        <v>745</v>
      </c>
      <c r="G218" s="23" t="s">
        <v>261</v>
      </c>
      <c r="H218" s="7"/>
      <c r="I218" s="24"/>
      <c r="J218" s="24"/>
    </row>
    <row r="219" spans="1:10" s="11" customFormat="1" x14ac:dyDescent="0.25">
      <c r="A219" s="25" t="s">
        <v>554</v>
      </c>
      <c r="B219" s="78" t="s">
        <v>555</v>
      </c>
      <c r="C219" s="79"/>
      <c r="D219" s="22"/>
      <c r="E219" s="22"/>
      <c r="F219" s="73" t="s">
        <v>772</v>
      </c>
      <c r="G219" s="23" t="s">
        <v>261</v>
      </c>
      <c r="H219" s="7"/>
      <c r="I219" s="24"/>
      <c r="J219" s="24"/>
    </row>
    <row r="220" spans="1:10" s="11" customFormat="1" x14ac:dyDescent="0.25">
      <c r="A220" s="25" t="s">
        <v>556</v>
      </c>
      <c r="B220" s="78" t="s">
        <v>557</v>
      </c>
      <c r="C220" s="79"/>
      <c r="D220" s="22"/>
      <c r="E220" s="22"/>
      <c r="F220" s="73" t="s">
        <v>771</v>
      </c>
      <c r="G220" s="23" t="s">
        <v>261</v>
      </c>
      <c r="H220" s="7"/>
      <c r="I220" s="24"/>
      <c r="J220" s="24"/>
    </row>
    <row r="221" spans="1:10" s="11" customFormat="1" x14ac:dyDescent="0.25">
      <c r="A221" s="25" t="s">
        <v>558</v>
      </c>
      <c r="B221" s="78" t="s">
        <v>559</v>
      </c>
      <c r="C221" s="79"/>
      <c r="D221" s="22"/>
      <c r="E221" s="22"/>
      <c r="F221" s="73" t="s">
        <v>746</v>
      </c>
      <c r="G221" s="23" t="s">
        <v>261</v>
      </c>
      <c r="H221" s="7"/>
      <c r="I221" s="24"/>
      <c r="J221" s="24"/>
    </row>
    <row r="222" spans="1:10" s="11" customFormat="1" x14ac:dyDescent="0.25">
      <c r="A222" s="25" t="s">
        <v>560</v>
      </c>
      <c r="B222" s="78" t="s">
        <v>561</v>
      </c>
      <c r="C222" s="79"/>
      <c r="D222" s="22"/>
      <c r="E222" s="22"/>
      <c r="F222" s="80" t="s">
        <v>562</v>
      </c>
      <c r="G222" s="73" t="s">
        <v>261</v>
      </c>
      <c r="H222" s="7"/>
      <c r="I222" s="24"/>
      <c r="J222" s="24"/>
    </row>
    <row r="223" spans="1:10" s="11" customFormat="1" x14ac:dyDescent="0.25">
      <c r="A223" s="25" t="s">
        <v>563</v>
      </c>
      <c r="B223" s="78" t="s">
        <v>564</v>
      </c>
      <c r="C223" s="79"/>
      <c r="D223" s="22"/>
      <c r="E223" s="22"/>
      <c r="F223" s="89" t="s">
        <v>565</v>
      </c>
      <c r="G223" s="73" t="s">
        <v>261</v>
      </c>
      <c r="H223" s="7"/>
      <c r="I223" s="24"/>
      <c r="J223" s="24"/>
    </row>
    <row r="224" spans="1:10" s="11" customFormat="1" x14ac:dyDescent="0.25">
      <c r="A224" s="25" t="s">
        <v>566</v>
      </c>
      <c r="B224" s="78" t="s">
        <v>567</v>
      </c>
      <c r="C224" s="79"/>
      <c r="D224" s="22"/>
      <c r="E224" s="22"/>
      <c r="F224" s="73" t="s">
        <v>773</v>
      </c>
      <c r="G224" s="23" t="s">
        <v>261</v>
      </c>
      <c r="H224" s="7"/>
      <c r="I224" s="24"/>
      <c r="J224" s="24"/>
    </row>
    <row r="225" spans="1:10" s="11" customFormat="1" x14ac:dyDescent="0.25">
      <c r="A225" s="25" t="s">
        <v>568</v>
      </c>
      <c r="B225" s="78" t="s">
        <v>569</v>
      </c>
      <c r="C225" s="79"/>
      <c r="D225" s="22"/>
      <c r="E225" s="22"/>
      <c r="F225" s="73" t="s">
        <v>773</v>
      </c>
      <c r="G225" s="23" t="s">
        <v>261</v>
      </c>
      <c r="H225" s="7"/>
      <c r="I225" s="24"/>
      <c r="J225" s="24"/>
    </row>
    <row r="226" spans="1:10" s="11" customFormat="1" x14ac:dyDescent="0.25">
      <c r="A226" s="25" t="s">
        <v>570</v>
      </c>
      <c r="B226" s="78" t="s">
        <v>571</v>
      </c>
      <c r="C226" s="79"/>
      <c r="D226" s="22"/>
      <c r="E226" s="22"/>
      <c r="F226" s="29" t="s">
        <v>572</v>
      </c>
      <c r="G226" s="23" t="s">
        <v>261</v>
      </c>
      <c r="H226" s="7"/>
      <c r="I226" s="24"/>
      <c r="J226" s="24"/>
    </row>
    <row r="227" spans="1:10" s="11" customFormat="1" x14ac:dyDescent="0.25">
      <c r="A227" s="25" t="s">
        <v>573</v>
      </c>
      <c r="B227" s="78" t="s">
        <v>574</v>
      </c>
      <c r="C227" s="79"/>
      <c r="D227" s="22"/>
      <c r="E227" s="22"/>
      <c r="F227" s="73" t="s">
        <v>735</v>
      </c>
      <c r="G227" s="23" t="s">
        <v>261</v>
      </c>
      <c r="H227" s="7"/>
      <c r="I227" s="24"/>
      <c r="J227" s="24"/>
    </row>
    <row r="228" spans="1:10" s="11" customFormat="1" x14ac:dyDescent="0.25">
      <c r="A228" s="25" t="s">
        <v>575</v>
      </c>
      <c r="B228" s="78" t="s">
        <v>576</v>
      </c>
      <c r="C228" s="79"/>
      <c r="D228" s="22"/>
      <c r="E228" s="22"/>
      <c r="F228" s="73" t="s">
        <v>774</v>
      </c>
      <c r="G228" s="23" t="s">
        <v>261</v>
      </c>
      <c r="H228" s="7"/>
      <c r="I228" s="24"/>
      <c r="J228" s="24"/>
    </row>
    <row r="229" spans="1:10" s="11" customFormat="1" x14ac:dyDescent="0.25">
      <c r="A229" s="25" t="s">
        <v>577</v>
      </c>
      <c r="B229" s="78" t="s">
        <v>578</v>
      </c>
      <c r="C229" s="79"/>
      <c r="D229" s="22"/>
      <c r="E229" s="22"/>
      <c r="F229" s="73" t="s">
        <v>775</v>
      </c>
      <c r="G229" s="23" t="s">
        <v>261</v>
      </c>
      <c r="H229" s="7"/>
      <c r="I229" s="24"/>
      <c r="J229" s="24"/>
    </row>
    <row r="230" spans="1:10" s="11" customFormat="1" x14ac:dyDescent="0.25">
      <c r="A230" s="25" t="s">
        <v>579</v>
      </c>
      <c r="B230" s="78" t="s">
        <v>580</v>
      </c>
      <c r="C230" s="79"/>
      <c r="D230" s="22"/>
      <c r="E230" s="22"/>
      <c r="F230" s="73" t="s">
        <v>750</v>
      </c>
      <c r="G230" s="23" t="s">
        <v>261</v>
      </c>
      <c r="H230" s="7"/>
      <c r="I230" s="24"/>
      <c r="J230" s="24"/>
    </row>
    <row r="231" spans="1:10" s="11" customFormat="1" x14ac:dyDescent="0.25">
      <c r="A231" s="25" t="s">
        <v>581</v>
      </c>
      <c r="B231" s="78" t="s">
        <v>582</v>
      </c>
      <c r="C231" s="79"/>
      <c r="D231" s="22"/>
      <c r="E231" s="22"/>
      <c r="F231" s="73" t="s">
        <v>749</v>
      </c>
      <c r="G231" s="23" t="s">
        <v>261</v>
      </c>
      <c r="H231" s="7"/>
      <c r="I231" s="24"/>
      <c r="J231" s="24"/>
    </row>
    <row r="232" spans="1:10" s="11" customFormat="1" x14ac:dyDescent="0.25">
      <c r="A232" s="25" t="s">
        <v>583</v>
      </c>
      <c r="B232" s="78" t="s">
        <v>584</v>
      </c>
      <c r="C232" s="79"/>
      <c r="D232" s="22"/>
      <c r="E232" s="22"/>
      <c r="F232" s="73" t="s">
        <v>735</v>
      </c>
      <c r="G232" s="23" t="s">
        <v>261</v>
      </c>
      <c r="H232" s="7"/>
      <c r="I232" s="24"/>
      <c r="J232" s="24"/>
    </row>
    <row r="233" spans="1:10" s="11" customFormat="1" x14ac:dyDescent="0.25">
      <c r="A233" s="25" t="s">
        <v>797</v>
      </c>
      <c r="B233" s="190" t="s">
        <v>798</v>
      </c>
      <c r="C233" s="79"/>
      <c r="D233" s="22"/>
      <c r="E233" s="22"/>
      <c r="F233" s="29" t="s">
        <v>799</v>
      </c>
      <c r="G233" s="23" t="s">
        <v>261</v>
      </c>
      <c r="H233" s="7"/>
      <c r="I233" s="24"/>
      <c r="J233" s="24"/>
    </row>
    <row r="234" spans="1:10" s="11" customFormat="1" x14ac:dyDescent="0.25">
      <c r="A234" s="25" t="s">
        <v>801</v>
      </c>
      <c r="B234" s="78" t="s">
        <v>802</v>
      </c>
      <c r="C234" s="79"/>
      <c r="D234" s="22"/>
      <c r="E234" s="22"/>
      <c r="F234" s="29" t="s">
        <v>803</v>
      </c>
      <c r="G234" s="23" t="s">
        <v>261</v>
      </c>
      <c r="H234" s="7"/>
      <c r="I234" s="24"/>
      <c r="J234" s="24"/>
    </row>
    <row r="235" spans="1:10" s="11" customFormat="1" x14ac:dyDescent="0.25">
      <c r="A235" s="25" t="s">
        <v>804</v>
      </c>
      <c r="B235" s="78" t="s">
        <v>805</v>
      </c>
      <c r="C235" s="79"/>
      <c r="D235" s="22"/>
      <c r="E235" s="22"/>
      <c r="F235" s="29" t="s">
        <v>806</v>
      </c>
      <c r="G235" s="23" t="s">
        <v>261</v>
      </c>
      <c r="H235" s="7"/>
      <c r="I235" s="12"/>
      <c r="J235" s="12"/>
    </row>
    <row r="236" spans="1:10" s="11" customFormat="1" x14ac:dyDescent="0.25">
      <c r="A236" s="25" t="s">
        <v>815</v>
      </c>
      <c r="B236" s="78" t="s">
        <v>816</v>
      </c>
      <c r="C236" s="79"/>
      <c r="D236" s="22"/>
      <c r="E236" s="22"/>
      <c r="F236" s="29" t="s">
        <v>817</v>
      </c>
      <c r="G236" s="23" t="s">
        <v>261</v>
      </c>
      <c r="H236" s="7"/>
      <c r="I236" s="12"/>
      <c r="J236" s="12"/>
    </row>
    <row r="237" spans="1:10" s="11" customFormat="1" x14ac:dyDescent="0.25">
      <c r="A237" s="25"/>
      <c r="B237" s="78"/>
      <c r="C237" s="79"/>
      <c r="D237" s="22"/>
      <c r="E237" s="22"/>
      <c r="F237" s="29"/>
      <c r="G237" s="23"/>
      <c r="H237" s="7"/>
      <c r="I237" s="12"/>
      <c r="J237" s="12"/>
    </row>
    <row r="238" spans="1:10" s="11" customFormat="1" x14ac:dyDescent="0.25">
      <c r="A238" s="25"/>
      <c r="B238" s="78"/>
      <c r="C238" s="79"/>
      <c r="D238" s="22"/>
      <c r="E238" s="22"/>
      <c r="F238" s="29"/>
      <c r="G238" s="23"/>
      <c r="H238" s="7"/>
      <c r="I238" s="12"/>
      <c r="J238" s="12"/>
    </row>
    <row r="239" spans="1:10" s="11" customFormat="1" x14ac:dyDescent="0.25">
      <c r="A239" s="25"/>
      <c r="B239" s="78"/>
      <c r="C239" s="79"/>
      <c r="D239" s="22"/>
      <c r="E239" s="22"/>
      <c r="F239" s="29"/>
      <c r="G239" s="23"/>
      <c r="H239" s="7"/>
      <c r="I239" s="12"/>
      <c r="J239" s="12"/>
    </row>
    <row r="240" spans="1:10" s="11" customFormat="1" x14ac:dyDescent="0.25">
      <c r="A240" s="25"/>
      <c r="B240" s="78"/>
      <c r="C240" s="79"/>
      <c r="D240" s="22"/>
      <c r="E240" s="22"/>
      <c r="F240" s="29"/>
      <c r="G240" s="23"/>
      <c r="H240" s="7"/>
      <c r="I240" s="12"/>
      <c r="J240" s="12"/>
    </row>
    <row r="241" spans="1:10" s="11" customFormat="1" x14ac:dyDescent="0.25">
      <c r="A241" s="25"/>
      <c r="B241" s="78"/>
      <c r="C241" s="79"/>
      <c r="D241" s="22"/>
      <c r="E241" s="22"/>
      <c r="F241" s="29"/>
      <c r="G241" s="23"/>
      <c r="H241" s="7"/>
      <c r="I241" s="12"/>
      <c r="J241" s="12"/>
    </row>
    <row r="242" spans="1:10" s="11" customFormat="1" x14ac:dyDescent="0.25">
      <c r="A242" s="25"/>
      <c r="B242" s="78"/>
      <c r="C242" s="79"/>
      <c r="D242" s="22"/>
      <c r="E242" s="22"/>
      <c r="F242" s="29"/>
      <c r="G242" s="23"/>
      <c r="H242" s="7"/>
      <c r="I242" s="12"/>
      <c r="J242" s="12"/>
    </row>
    <row r="243" spans="1:10" s="11" customFormat="1" x14ac:dyDescent="0.25">
      <c r="A243" s="25"/>
      <c r="B243" s="78"/>
      <c r="C243" s="79"/>
      <c r="D243" s="22"/>
      <c r="E243" s="22"/>
      <c r="F243" s="29"/>
      <c r="G243" s="23"/>
      <c r="H243" s="7"/>
      <c r="I243" s="12"/>
      <c r="J243" s="12"/>
    </row>
    <row r="244" spans="1:10" s="11" customFormat="1" x14ac:dyDescent="0.25">
      <c r="A244" s="25"/>
      <c r="B244" s="78"/>
      <c r="C244" s="79"/>
      <c r="D244" s="22"/>
      <c r="E244" s="22"/>
      <c r="F244" s="29"/>
      <c r="G244" s="23"/>
      <c r="H244" s="7"/>
      <c r="I244" s="12"/>
      <c r="J244" s="12"/>
    </row>
    <row r="245" spans="1:10" s="11" customFormat="1" x14ac:dyDescent="0.25">
      <c r="A245" s="25"/>
      <c r="B245" s="78"/>
      <c r="C245" s="79"/>
      <c r="D245" s="22"/>
      <c r="E245" s="22"/>
      <c r="F245" s="29"/>
      <c r="G245" s="23"/>
      <c r="H245" s="7"/>
      <c r="I245" s="12"/>
      <c r="J245" s="12"/>
    </row>
    <row r="246" spans="1:10" s="11" customFormat="1" x14ac:dyDescent="0.25">
      <c r="A246" s="25"/>
      <c r="B246" s="78"/>
      <c r="C246" s="79"/>
      <c r="D246" s="22"/>
      <c r="E246" s="22"/>
      <c r="F246" s="29"/>
      <c r="G246" s="23"/>
      <c r="H246" s="7"/>
      <c r="I246" s="12"/>
      <c r="J246" s="12"/>
    </row>
    <row r="247" spans="1:10" s="11" customFormat="1" x14ac:dyDescent="0.25">
      <c r="A247" s="25"/>
      <c r="B247" s="78"/>
      <c r="C247" s="79"/>
      <c r="D247" s="22"/>
      <c r="E247" s="22"/>
      <c r="F247" s="29"/>
      <c r="G247" s="23"/>
      <c r="H247" s="91"/>
      <c r="I247" s="12"/>
      <c r="J247" s="12"/>
    </row>
    <row r="248" spans="1:10" s="11" customFormat="1" x14ac:dyDescent="0.25">
      <c r="A248" s="25"/>
      <c r="B248" s="78"/>
      <c r="C248" s="79"/>
      <c r="D248" s="22"/>
      <c r="E248" s="22"/>
      <c r="F248" s="29"/>
      <c r="G248" s="23"/>
      <c r="H248" s="91"/>
      <c r="I248" s="12"/>
      <c r="J248" s="12"/>
    </row>
    <row r="249" spans="1:10" x14ac:dyDescent="0.25">
      <c r="A249" s="25"/>
      <c r="B249" s="78"/>
      <c r="C249" s="79"/>
      <c r="D249" s="22"/>
      <c r="E249" s="22"/>
      <c r="F249" s="29"/>
      <c r="G249" s="23"/>
      <c r="H249" s="91"/>
    </row>
    <row r="250" spans="1:10" s="11" customFormat="1" x14ac:dyDescent="0.25">
      <c r="A250" s="25"/>
      <c r="B250" s="78"/>
      <c r="C250" s="79"/>
      <c r="D250" s="22"/>
      <c r="E250" s="22"/>
      <c r="F250" s="29"/>
      <c r="G250" s="23"/>
      <c r="H250" s="91"/>
      <c r="I250" s="12"/>
      <c r="J250" s="12"/>
    </row>
    <row r="251" spans="1:10" s="11" customFormat="1" x14ac:dyDescent="0.25">
      <c r="A251" s="25"/>
      <c r="B251" s="78"/>
      <c r="C251" s="79"/>
      <c r="D251" s="22"/>
      <c r="E251" s="22"/>
      <c r="F251" s="29"/>
      <c r="G251" s="23"/>
      <c r="H251" s="91"/>
      <c r="I251" s="12"/>
      <c r="J251" s="12"/>
    </row>
    <row r="252" spans="1:10" s="11" customFormat="1" x14ac:dyDescent="0.25">
      <c r="A252" s="25"/>
      <c r="B252" s="78"/>
      <c r="C252" s="79"/>
      <c r="D252" s="22"/>
      <c r="E252" s="22"/>
      <c r="F252" s="29"/>
      <c r="G252" s="23"/>
      <c r="H252" s="91"/>
      <c r="I252" s="12"/>
      <c r="J252" s="12"/>
    </row>
    <row r="253" spans="1:10" s="11" customFormat="1" x14ac:dyDescent="0.25">
      <c r="A253" s="25"/>
      <c r="B253" s="78"/>
      <c r="C253" s="79"/>
      <c r="D253" s="22"/>
      <c r="E253" s="22"/>
      <c r="F253" s="29"/>
      <c r="G253" s="23"/>
      <c r="H253" s="91"/>
      <c r="I253" s="12"/>
      <c r="J253" s="12"/>
    </row>
    <row r="254" spans="1:10" s="11" customFormat="1" x14ac:dyDescent="0.25">
      <c r="A254" s="25"/>
      <c r="B254" s="78"/>
      <c r="C254" s="79"/>
      <c r="D254" s="22"/>
      <c r="E254" s="22"/>
      <c r="F254" s="29"/>
      <c r="G254" s="23"/>
      <c r="H254" s="91"/>
      <c r="I254" s="12"/>
      <c r="J254" s="12"/>
    </row>
    <row r="255" spans="1:10" s="11" customFormat="1" x14ac:dyDescent="0.25">
      <c r="A255" s="25"/>
      <c r="B255" s="78"/>
      <c r="C255" s="79"/>
      <c r="D255" s="22"/>
      <c r="E255" s="22"/>
      <c r="F255" s="29"/>
      <c r="G255" s="23"/>
      <c r="H255" s="91"/>
      <c r="I255" s="12"/>
      <c r="J255" s="12"/>
    </row>
    <row r="256" spans="1:10" s="11" customFormat="1" x14ac:dyDescent="0.25">
      <c r="A256" s="25"/>
      <c r="B256" s="78"/>
      <c r="C256" s="79"/>
      <c r="D256" s="22"/>
      <c r="E256" s="22"/>
      <c r="F256" s="29"/>
      <c r="G256" s="23"/>
      <c r="H256" s="91"/>
      <c r="I256" s="12"/>
      <c r="J256" s="12"/>
    </row>
    <row r="257" spans="1:10" s="11" customFormat="1" x14ac:dyDescent="0.25">
      <c r="A257" s="25"/>
      <c r="B257" s="78"/>
      <c r="C257" s="79"/>
      <c r="D257" s="22"/>
      <c r="E257" s="22"/>
      <c r="F257" s="29"/>
      <c r="G257" s="23"/>
      <c r="H257" s="91"/>
      <c r="I257" s="12"/>
      <c r="J257" s="12"/>
    </row>
    <row r="258" spans="1:10" s="11" customFormat="1" x14ac:dyDescent="0.25">
      <c r="A258" s="25"/>
      <c r="B258" s="78"/>
      <c r="C258" s="79"/>
      <c r="D258" s="22"/>
      <c r="E258" s="22"/>
      <c r="F258" s="29"/>
      <c r="G258" s="23"/>
      <c r="H258" s="91"/>
      <c r="I258" s="12"/>
      <c r="J258" s="12"/>
    </row>
    <row r="259" spans="1:10" s="11" customFormat="1" x14ac:dyDescent="0.25">
      <c r="A259" s="25"/>
      <c r="B259" s="78"/>
      <c r="C259" s="79"/>
      <c r="D259" s="22"/>
      <c r="E259" s="22"/>
      <c r="F259" s="29"/>
      <c r="G259" s="23"/>
      <c r="H259" s="91"/>
      <c r="I259" s="12"/>
      <c r="J259" s="12"/>
    </row>
    <row r="260" spans="1:10" s="11" customFormat="1" x14ac:dyDescent="0.25">
      <c r="A260" s="25"/>
      <c r="B260" s="78"/>
      <c r="C260" s="79"/>
      <c r="D260" s="22"/>
      <c r="E260" s="22"/>
      <c r="F260" s="29"/>
      <c r="G260" s="23"/>
      <c r="H260" s="91"/>
      <c r="I260" s="12"/>
      <c r="J260" s="12"/>
    </row>
    <row r="261" spans="1:10" s="11" customFormat="1" x14ac:dyDescent="0.25">
      <c r="A261" s="25"/>
      <c r="B261" s="78"/>
      <c r="C261" s="79"/>
      <c r="D261" s="22"/>
      <c r="E261" s="22"/>
      <c r="F261" s="29"/>
      <c r="G261" s="23"/>
      <c r="H261" s="91"/>
      <c r="I261" s="12"/>
      <c r="J261" s="12"/>
    </row>
    <row r="262" spans="1:10" s="11" customFormat="1" x14ac:dyDescent="0.25">
      <c r="A262" s="25"/>
      <c r="B262" s="78"/>
      <c r="C262" s="79"/>
      <c r="D262" s="22"/>
      <c r="E262" s="22"/>
      <c r="F262" s="29"/>
      <c r="G262" s="23"/>
      <c r="H262" s="91"/>
      <c r="I262" s="12"/>
      <c r="J262" s="12"/>
    </row>
    <row r="263" spans="1:10" s="92" customFormat="1" x14ac:dyDescent="0.25">
      <c r="A263" s="25"/>
      <c r="B263" s="78"/>
      <c r="C263" s="79"/>
      <c r="D263" s="22"/>
      <c r="E263" s="22"/>
      <c r="F263" s="29"/>
      <c r="G263" s="23"/>
      <c r="H263" s="91"/>
      <c r="I263" s="12"/>
      <c r="J263" s="12"/>
    </row>
    <row r="264" spans="1:10" s="92" customFormat="1" x14ac:dyDescent="0.25">
      <c r="A264" s="25"/>
      <c r="B264" s="78"/>
      <c r="C264" s="79"/>
      <c r="D264" s="22"/>
      <c r="E264" s="22"/>
      <c r="F264" s="29"/>
      <c r="G264" s="23"/>
      <c r="H264" s="91"/>
      <c r="I264" s="12"/>
      <c r="J264" s="12"/>
    </row>
    <row r="265" spans="1:10" s="92" customFormat="1" x14ac:dyDescent="0.25">
      <c r="A265" s="25"/>
      <c r="B265" s="78"/>
      <c r="C265" s="79"/>
      <c r="D265" s="22"/>
      <c r="E265" s="22"/>
      <c r="F265" s="29"/>
      <c r="G265" s="23"/>
      <c r="H265" s="91"/>
      <c r="I265" s="12"/>
      <c r="J265" s="12"/>
    </row>
    <row r="266" spans="1:10" s="92" customFormat="1" x14ac:dyDescent="0.25">
      <c r="A266" s="25"/>
      <c r="B266" s="78"/>
      <c r="C266" s="79"/>
      <c r="D266" s="22"/>
      <c r="E266" s="22"/>
      <c r="F266" s="29"/>
      <c r="G266" s="23"/>
      <c r="H266" s="91"/>
      <c r="I266" s="12"/>
      <c r="J266" s="12"/>
    </row>
    <row r="267" spans="1:10" s="92" customFormat="1" x14ac:dyDescent="0.25">
      <c r="A267" s="25"/>
      <c r="B267" s="78"/>
      <c r="C267" s="79"/>
      <c r="D267" s="22"/>
      <c r="E267" s="22"/>
      <c r="F267" s="29"/>
      <c r="G267" s="23"/>
      <c r="H267" s="91"/>
      <c r="I267" s="12"/>
      <c r="J267" s="12"/>
    </row>
    <row r="268" spans="1:10" s="92" customFormat="1" x14ac:dyDescent="0.25">
      <c r="A268" s="25"/>
      <c r="B268" s="78"/>
      <c r="C268" s="79"/>
      <c r="D268" s="22"/>
      <c r="E268" s="22"/>
      <c r="F268" s="29"/>
      <c r="G268" s="23"/>
      <c r="H268" s="91"/>
      <c r="I268" s="12"/>
      <c r="J268" s="12"/>
    </row>
    <row r="269" spans="1:10" s="92" customFormat="1" x14ac:dyDescent="0.25">
      <c r="A269" s="25"/>
      <c r="B269" s="78"/>
      <c r="C269" s="79"/>
      <c r="D269" s="22"/>
      <c r="E269" s="22"/>
      <c r="F269" s="29"/>
      <c r="G269" s="23"/>
      <c r="H269" s="91"/>
      <c r="I269" s="12"/>
      <c r="J269" s="12"/>
    </row>
    <row r="270" spans="1:10" s="92" customFormat="1" x14ac:dyDescent="0.25">
      <c r="A270" s="25"/>
      <c r="B270" s="78"/>
      <c r="C270" s="79"/>
      <c r="D270" s="22"/>
      <c r="E270" s="22"/>
      <c r="F270" s="29"/>
      <c r="G270" s="23"/>
      <c r="H270" s="91"/>
      <c r="I270" s="12"/>
      <c r="J270" s="12"/>
    </row>
    <row r="271" spans="1:10" s="92" customFormat="1" x14ac:dyDescent="0.25">
      <c r="A271" s="25"/>
      <c r="B271" s="78"/>
      <c r="C271" s="79"/>
      <c r="D271" s="22"/>
      <c r="E271" s="22"/>
      <c r="F271" s="29"/>
      <c r="G271" s="23"/>
      <c r="H271" s="91"/>
      <c r="I271" s="12"/>
      <c r="J271" s="12"/>
    </row>
    <row r="272" spans="1:10" s="92" customFormat="1" x14ac:dyDescent="0.25">
      <c r="D272" s="11"/>
      <c r="E272" s="11"/>
      <c r="H272" s="91"/>
      <c r="I272" s="12"/>
      <c r="J272" s="12"/>
    </row>
    <row r="273" spans="4:10" s="92" customFormat="1" x14ac:dyDescent="0.25">
      <c r="D273" s="11"/>
      <c r="E273" s="11"/>
      <c r="H273" s="91"/>
      <c r="I273" s="12"/>
      <c r="J273" s="12"/>
    </row>
    <row r="274" spans="4:10" s="92" customFormat="1" x14ac:dyDescent="0.25">
      <c r="D274" s="11"/>
      <c r="E274" s="11"/>
      <c r="H274" s="91"/>
      <c r="I274" s="12"/>
      <c r="J274" s="12"/>
    </row>
    <row r="275" spans="4:10" s="92" customFormat="1" x14ac:dyDescent="0.25">
      <c r="D275" s="11"/>
      <c r="E275" s="11"/>
      <c r="H275" s="91"/>
      <c r="I275" s="12"/>
      <c r="J275" s="12"/>
    </row>
    <row r="276" spans="4:10" s="92" customFormat="1" x14ac:dyDescent="0.25">
      <c r="D276" s="11"/>
      <c r="E276" s="11"/>
      <c r="H276" s="91"/>
      <c r="I276" s="12"/>
      <c r="J276" s="12"/>
    </row>
    <row r="277" spans="4:10" x14ac:dyDescent="0.25">
      <c r="H277" s="91"/>
    </row>
    <row r="278" spans="4:10" x14ac:dyDescent="0.25">
      <c r="H278" s="91"/>
    </row>
    <row r="279" spans="4:10" x14ac:dyDescent="0.25">
      <c r="H279" s="91"/>
    </row>
    <row r="280" spans="4:10" x14ac:dyDescent="0.25">
      <c r="H280" s="91"/>
    </row>
    <row r="281" spans="4:10" x14ac:dyDescent="0.25">
      <c r="H281" s="91"/>
    </row>
    <row r="282" spans="4:10" x14ac:dyDescent="0.25">
      <c r="H282" s="91"/>
    </row>
  </sheetData>
  <mergeCells count="2">
    <mergeCell ref="A1:J1"/>
    <mergeCell ref="A86:F86"/>
  </mergeCells>
  <phoneticPr fontId="10" type="noConversion"/>
  <pageMargins left="0.70833333333333304" right="0.70833333333333304" top="0.78749999999999998" bottom="0.59097222222222201" header="0.31527777777777799" footer="0.31527777777777799"/>
  <pageSetup paperSize="9" orientation="landscape" horizontalDpi="300" verticalDpi="300"/>
  <headerFooter>
    <oddHeader>&amp;C&amp;"Arial,Bold"&amp;24&amp;A</oddHeader>
    <oddFooter>&amp;L&amp;"Arial,Regular"&amp;8&amp;Z&amp;F&amp;C&amp;8                                                         Seite &amp;P&amp;R&amp;8gezählt von Michael Heiß/erstellt von Sigurd Heiß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AE206"/>
  <sheetViews>
    <sheetView zoomScale="130" zoomScaleNormal="130" workbookViewId="0">
      <selection activeCell="J5" sqref="J5"/>
    </sheetView>
  </sheetViews>
  <sheetFormatPr baseColWidth="10" defaultColWidth="10.5703125" defaultRowHeight="15" x14ac:dyDescent="0.25"/>
  <cols>
    <col min="1" max="1" width="19.140625" style="10" customWidth="1"/>
    <col min="2" max="2" width="42" style="11" customWidth="1"/>
    <col min="3" max="3" width="12.42578125" style="11" customWidth="1"/>
    <col min="4" max="4" width="23" style="11" hidden="1" customWidth="1"/>
    <col min="5" max="5" width="11.140625" style="11" customWidth="1"/>
    <col min="6" max="6" width="20.140625" style="11" customWidth="1"/>
    <col min="7" max="7" width="15.28515625" style="92" customWidth="1"/>
    <col min="8" max="8" width="0.7109375" style="11" hidden="1" customWidth="1"/>
    <col min="9" max="9" width="12.42578125" style="11" customWidth="1"/>
    <col min="10" max="10" width="14.7109375" style="11" customWidth="1"/>
    <col min="11" max="11" width="7.7109375" style="11" customWidth="1"/>
    <col min="12" max="12" width="11.42578125" style="7" customWidth="1"/>
    <col min="13" max="13" width="10.42578125" style="92" customWidth="1"/>
    <col min="14" max="14" width="0.7109375" style="11" customWidth="1"/>
    <col min="15" max="15" width="16.28515625" style="11" customWidth="1"/>
    <col min="16" max="16" width="19.5703125" style="11" customWidth="1"/>
    <col min="17" max="17" width="7.7109375" style="11" customWidth="1"/>
    <col min="18" max="18" width="11.42578125" style="7" customWidth="1"/>
    <col min="19" max="19" width="11.42578125" style="11" customWidth="1"/>
    <col min="20" max="20" width="0.7109375" style="11" customWidth="1"/>
    <col min="21" max="21" width="14.7109375" style="11" hidden="1" customWidth="1"/>
    <col min="22" max="22" width="10.140625" style="11" hidden="1" customWidth="1"/>
    <col min="23" max="23" width="7.7109375" style="11" hidden="1" customWidth="1"/>
    <col min="24" max="24" width="10.140625" style="7" hidden="1" customWidth="1"/>
    <col min="25" max="25" width="10.140625" style="11" hidden="1" customWidth="1"/>
    <col min="26" max="26" width="0.7109375" style="11" hidden="1" customWidth="1"/>
    <col min="27" max="27" width="10.140625" style="7" hidden="1" customWidth="1"/>
    <col min="28" max="28" width="11.42578125" style="11" customWidth="1"/>
  </cols>
  <sheetData>
    <row r="1" spans="1:27" ht="21.75" customHeight="1" x14ac:dyDescent="0.25">
      <c r="A1" s="191" t="s">
        <v>0</v>
      </c>
      <c r="B1" s="191"/>
      <c r="C1" s="191"/>
      <c r="D1" s="93"/>
      <c r="E1" s="94"/>
      <c r="F1" s="94"/>
      <c r="G1" s="95"/>
      <c r="H1" s="96"/>
      <c r="T1" s="9"/>
      <c r="U1" s="193" t="s">
        <v>585</v>
      </c>
      <c r="V1" s="194" t="s">
        <v>586</v>
      </c>
      <c r="W1" s="194"/>
      <c r="X1" s="194"/>
      <c r="Y1" s="194"/>
      <c r="Z1" s="9"/>
      <c r="AA1" s="97"/>
    </row>
    <row r="2" spans="1:27" ht="24" customHeight="1" x14ac:dyDescent="0.25">
      <c r="A2" s="13" t="s">
        <v>249</v>
      </c>
      <c r="B2" s="98" t="s">
        <v>250</v>
      </c>
      <c r="C2" s="99" t="s">
        <v>587</v>
      </c>
      <c r="D2" s="100" t="s">
        <v>588</v>
      </c>
      <c r="E2" s="100" t="s">
        <v>251</v>
      </c>
      <c r="F2" s="100" t="s">
        <v>588</v>
      </c>
      <c r="G2" s="85"/>
      <c r="H2" s="96"/>
      <c r="T2" s="9"/>
      <c r="U2" s="193"/>
      <c r="V2" s="9" t="s">
        <v>250</v>
      </c>
      <c r="W2" s="9" t="s">
        <v>589</v>
      </c>
      <c r="X2" s="101" t="s">
        <v>590</v>
      </c>
      <c r="Y2" s="97" t="s">
        <v>591</v>
      </c>
      <c r="Z2" s="9"/>
      <c r="AA2" s="101" t="s">
        <v>592</v>
      </c>
    </row>
    <row r="3" spans="1:27" x14ac:dyDescent="0.25">
      <c r="A3" s="102" t="s">
        <v>11</v>
      </c>
      <c r="B3" s="20" t="s">
        <v>12</v>
      </c>
      <c r="C3" s="21" t="s">
        <v>13</v>
      </c>
      <c r="D3" s="103"/>
      <c r="E3" s="104" t="s">
        <v>14</v>
      </c>
      <c r="F3" s="104" t="s">
        <v>15</v>
      </c>
      <c r="G3" s="195" t="s">
        <v>16</v>
      </c>
      <c r="H3" s="195"/>
      <c r="I3" s="195"/>
      <c r="T3" s="96"/>
      <c r="V3" s="11" t="s">
        <v>593</v>
      </c>
      <c r="W3" s="11">
        <v>33</v>
      </c>
      <c r="Y3" s="92">
        <f>SUM(W3*X3)</f>
        <v>0</v>
      </c>
      <c r="Z3" s="96"/>
    </row>
    <row r="4" spans="1:27" hidden="1" x14ac:dyDescent="0.25">
      <c r="A4" s="28" t="s">
        <v>17</v>
      </c>
      <c r="B4" s="26" t="s">
        <v>18</v>
      </c>
      <c r="C4" s="27"/>
      <c r="D4" s="105"/>
      <c r="E4" s="80" t="s">
        <v>19</v>
      </c>
      <c r="F4" s="80"/>
      <c r="T4" s="96"/>
      <c r="Y4" s="92"/>
      <c r="Z4" s="96"/>
    </row>
    <row r="5" spans="1:27" x14ac:dyDescent="0.25">
      <c r="A5" s="28" t="s">
        <v>20</v>
      </c>
      <c r="B5" s="26" t="s">
        <v>21</v>
      </c>
      <c r="C5" s="27" t="s">
        <v>22</v>
      </c>
      <c r="D5" s="105"/>
      <c r="E5" s="80" t="s">
        <v>23</v>
      </c>
      <c r="F5" s="80" t="s">
        <v>24</v>
      </c>
      <c r="H5" s="96"/>
      <c r="T5" s="96"/>
      <c r="U5" s="106" t="s">
        <v>594</v>
      </c>
      <c r="V5" s="11" t="s">
        <v>595</v>
      </c>
      <c r="W5" s="11">
        <v>-4143</v>
      </c>
      <c r="X5" s="7">
        <v>9</v>
      </c>
      <c r="Y5" s="92">
        <f t="shared" ref="Y5:Y17" si="0">SUM(W5*X5)</f>
        <v>-37287</v>
      </c>
      <c r="Z5" s="96"/>
    </row>
    <row r="6" spans="1:27" x14ac:dyDescent="0.25">
      <c r="A6" s="28" t="s">
        <v>25</v>
      </c>
      <c r="B6" s="26" t="s">
        <v>26</v>
      </c>
      <c r="C6" s="27" t="s">
        <v>27</v>
      </c>
      <c r="D6" s="105"/>
      <c r="E6" s="80" t="s">
        <v>28</v>
      </c>
      <c r="F6" s="80" t="s">
        <v>29</v>
      </c>
      <c r="T6" s="96"/>
      <c r="U6" s="106" t="s">
        <v>596</v>
      </c>
      <c r="V6" s="11" t="s">
        <v>597</v>
      </c>
      <c r="W6" s="11">
        <v>62</v>
      </c>
      <c r="X6" s="7">
        <v>18</v>
      </c>
      <c r="Y6" s="92">
        <f t="shared" si="0"/>
        <v>1116</v>
      </c>
      <c r="Z6" s="96"/>
    </row>
    <row r="7" spans="1:27" x14ac:dyDescent="0.25">
      <c r="A7" s="28" t="s">
        <v>30</v>
      </c>
      <c r="B7" s="26" t="s">
        <v>31</v>
      </c>
      <c r="C7" s="27" t="s">
        <v>27</v>
      </c>
      <c r="D7" s="105"/>
      <c r="E7" s="80" t="s">
        <v>32</v>
      </c>
      <c r="F7" s="80" t="s">
        <v>29</v>
      </c>
      <c r="H7" s="96"/>
      <c r="T7" s="96"/>
      <c r="U7" s="106" t="s">
        <v>596</v>
      </c>
      <c r="V7" s="11" t="s">
        <v>597</v>
      </c>
      <c r="W7" s="11">
        <v>-62</v>
      </c>
      <c r="X7" s="7">
        <v>18</v>
      </c>
      <c r="Y7" s="92">
        <f t="shared" si="0"/>
        <v>-1116</v>
      </c>
      <c r="Z7" s="96"/>
    </row>
    <row r="8" spans="1:27" x14ac:dyDescent="0.25">
      <c r="A8" s="28" t="s">
        <v>33</v>
      </c>
      <c r="B8" s="26" t="s">
        <v>34</v>
      </c>
      <c r="C8" s="27" t="s">
        <v>22</v>
      </c>
      <c r="D8" s="105"/>
      <c r="E8" s="80" t="s">
        <v>35</v>
      </c>
      <c r="F8" s="80" t="s">
        <v>24</v>
      </c>
      <c r="G8" s="196"/>
      <c r="H8" s="196"/>
      <c r="I8" s="196"/>
      <c r="T8" s="96"/>
      <c r="U8" s="106"/>
      <c r="Y8" s="92">
        <f t="shared" si="0"/>
        <v>0</v>
      </c>
      <c r="Z8" s="96"/>
    </row>
    <row r="9" spans="1:27" x14ac:dyDescent="0.25">
      <c r="A9" s="28" t="s">
        <v>36</v>
      </c>
      <c r="B9" s="26" t="s">
        <v>37</v>
      </c>
      <c r="C9" s="27" t="s">
        <v>22</v>
      </c>
      <c r="D9" s="105"/>
      <c r="E9" s="80" t="s">
        <v>38</v>
      </c>
      <c r="F9" s="80" t="s">
        <v>24</v>
      </c>
      <c r="H9" s="96"/>
      <c r="T9" s="96"/>
      <c r="U9" s="106"/>
      <c r="Y9" s="92">
        <f t="shared" si="0"/>
        <v>0</v>
      </c>
      <c r="Z9" s="96"/>
    </row>
    <row r="10" spans="1:27" x14ac:dyDescent="0.25">
      <c r="A10" s="28" t="s">
        <v>39</v>
      </c>
      <c r="B10" s="26" t="s">
        <v>40</v>
      </c>
      <c r="C10" s="27" t="s">
        <v>41</v>
      </c>
      <c r="D10" s="105" t="s">
        <v>598</v>
      </c>
      <c r="E10" s="80" t="s">
        <v>42</v>
      </c>
      <c r="F10" s="80" t="s">
        <v>29</v>
      </c>
      <c r="G10" s="196"/>
      <c r="H10" s="196"/>
      <c r="I10" s="196"/>
      <c r="T10" s="96"/>
      <c r="U10" s="106"/>
      <c r="Y10" s="92">
        <f t="shared" si="0"/>
        <v>0</v>
      </c>
      <c r="Z10" s="96"/>
    </row>
    <row r="11" spans="1:27" x14ac:dyDescent="0.25">
      <c r="A11" s="28" t="s">
        <v>43</v>
      </c>
      <c r="B11" s="26" t="s">
        <v>44</v>
      </c>
      <c r="C11" s="27" t="s">
        <v>45</v>
      </c>
      <c r="D11" s="105"/>
      <c r="E11" s="80" t="s">
        <v>46</v>
      </c>
      <c r="F11" s="80" t="s">
        <v>47</v>
      </c>
      <c r="H11" s="96"/>
      <c r="T11" s="96"/>
      <c r="U11" s="106"/>
      <c r="Y11" s="92">
        <f t="shared" si="0"/>
        <v>0</v>
      </c>
      <c r="Z11" s="96"/>
    </row>
    <row r="12" spans="1:27" x14ac:dyDescent="0.25">
      <c r="A12" s="28" t="s">
        <v>43</v>
      </c>
      <c r="B12" s="26" t="s">
        <v>49</v>
      </c>
      <c r="C12" s="27" t="s">
        <v>45</v>
      </c>
      <c r="D12" s="105"/>
      <c r="E12" s="80" t="s">
        <v>46</v>
      </c>
      <c r="F12" s="104" t="s">
        <v>15</v>
      </c>
      <c r="H12" s="96"/>
      <c r="T12" s="96"/>
      <c r="U12" s="106"/>
      <c r="Y12" s="92">
        <f t="shared" si="0"/>
        <v>0</v>
      </c>
      <c r="Z12" s="96"/>
    </row>
    <row r="13" spans="1:27" x14ac:dyDescent="0.25">
      <c r="A13" s="28" t="s">
        <v>50</v>
      </c>
      <c r="B13" s="26" t="s">
        <v>51</v>
      </c>
      <c r="C13" s="27" t="s">
        <v>41</v>
      </c>
      <c r="D13" s="105" t="s">
        <v>598</v>
      </c>
      <c r="E13" s="80" t="s">
        <v>52</v>
      </c>
      <c r="F13" s="80" t="s">
        <v>29</v>
      </c>
      <c r="H13" s="96"/>
      <c r="T13" s="96"/>
      <c r="U13" s="106"/>
      <c r="Y13" s="92">
        <f t="shared" si="0"/>
        <v>0</v>
      </c>
      <c r="Z13" s="96"/>
    </row>
    <row r="14" spans="1:27" hidden="1" x14ac:dyDescent="0.25">
      <c r="A14" s="28" t="s">
        <v>53</v>
      </c>
      <c r="B14" s="26"/>
      <c r="C14" s="27"/>
      <c r="D14" s="105"/>
      <c r="E14" s="80" t="s">
        <v>599</v>
      </c>
      <c r="F14" s="80"/>
      <c r="H14" s="96"/>
      <c r="T14" s="96"/>
      <c r="U14" s="106"/>
      <c r="Y14" s="92">
        <f t="shared" si="0"/>
        <v>0</v>
      </c>
      <c r="Z14" s="96"/>
    </row>
    <row r="15" spans="1:27" hidden="1" x14ac:dyDescent="0.25">
      <c r="A15" s="45" t="s">
        <v>53</v>
      </c>
      <c r="B15" s="31" t="s">
        <v>54</v>
      </c>
      <c r="C15" s="32"/>
      <c r="D15" s="107"/>
      <c r="E15" s="89" t="s">
        <v>55</v>
      </c>
      <c r="F15" s="80"/>
      <c r="H15" s="96"/>
      <c r="T15" s="96"/>
      <c r="U15" s="106"/>
      <c r="Y15" s="92">
        <f t="shared" si="0"/>
        <v>0</v>
      </c>
      <c r="Z15" s="96"/>
    </row>
    <row r="16" spans="1:27" x14ac:dyDescent="0.25">
      <c r="A16" s="28" t="s">
        <v>58</v>
      </c>
      <c r="B16" s="33" t="s">
        <v>59</v>
      </c>
      <c r="C16" s="34" t="s">
        <v>60</v>
      </c>
      <c r="D16" s="108"/>
      <c r="E16" s="80" t="s">
        <v>61</v>
      </c>
      <c r="F16" s="80" t="s">
        <v>62</v>
      </c>
      <c r="G16" s="197" t="s">
        <v>63</v>
      </c>
      <c r="H16" s="197"/>
      <c r="I16" s="197"/>
      <c r="T16" s="96"/>
      <c r="U16" s="106"/>
      <c r="Y16" s="92">
        <f t="shared" si="0"/>
        <v>0</v>
      </c>
      <c r="Z16" s="96"/>
    </row>
    <row r="17" spans="1:31" x14ac:dyDescent="0.25">
      <c r="A17" s="28" t="s">
        <v>64</v>
      </c>
      <c r="B17" s="33" t="s">
        <v>65</v>
      </c>
      <c r="C17" s="34" t="s">
        <v>66</v>
      </c>
      <c r="D17" s="108" t="s">
        <v>598</v>
      </c>
      <c r="E17" s="80" t="s">
        <v>67</v>
      </c>
      <c r="F17" s="80" t="s">
        <v>29</v>
      </c>
      <c r="H17" s="96"/>
      <c r="T17" s="96"/>
      <c r="U17" s="106"/>
      <c r="Y17" s="92">
        <f t="shared" si="0"/>
        <v>0</v>
      </c>
      <c r="Z17" s="96"/>
    </row>
    <row r="18" spans="1:31" x14ac:dyDescent="0.25">
      <c r="A18" s="28" t="s">
        <v>68</v>
      </c>
      <c r="B18" s="33" t="s">
        <v>69</v>
      </c>
      <c r="C18" s="34" t="s">
        <v>66</v>
      </c>
      <c r="D18" s="108" t="s">
        <v>598</v>
      </c>
      <c r="E18" s="80" t="s">
        <v>70</v>
      </c>
      <c r="F18" s="80" t="s">
        <v>29</v>
      </c>
      <c r="H18" s="96"/>
      <c r="T18" s="96"/>
      <c r="U18" s="106"/>
      <c r="Y18" s="92"/>
      <c r="Z18" s="96"/>
    </row>
    <row r="19" spans="1:31" x14ac:dyDescent="0.25">
      <c r="A19" s="28" t="s">
        <v>71</v>
      </c>
      <c r="B19" s="33" t="s">
        <v>72</v>
      </c>
      <c r="C19" s="34" t="s">
        <v>73</v>
      </c>
      <c r="D19" s="108"/>
      <c r="E19" s="80" t="s">
        <v>74</v>
      </c>
      <c r="F19" s="80" t="s">
        <v>29</v>
      </c>
      <c r="H19" s="96"/>
      <c r="T19" s="96"/>
      <c r="U19" s="106"/>
      <c r="Y19" s="92">
        <f t="shared" ref="Y19:Y27" si="1">SUM(W19*X19)</f>
        <v>0</v>
      </c>
      <c r="Z19" s="96"/>
    </row>
    <row r="20" spans="1:31" hidden="1" x14ac:dyDescent="0.25">
      <c r="A20" s="28" t="s">
        <v>75</v>
      </c>
      <c r="B20" s="33" t="s">
        <v>76</v>
      </c>
      <c r="C20" s="34"/>
      <c r="D20" s="108"/>
      <c r="E20" s="80" t="s">
        <v>77</v>
      </c>
      <c r="F20" s="80"/>
      <c r="H20" s="96"/>
      <c r="T20" s="96"/>
      <c r="U20" s="106"/>
      <c r="Y20" s="92">
        <f t="shared" si="1"/>
        <v>0</v>
      </c>
      <c r="Z20" s="96"/>
    </row>
    <row r="21" spans="1:31" hidden="1" x14ac:dyDescent="0.25">
      <c r="A21" s="28" t="s">
        <v>81</v>
      </c>
      <c r="B21" s="36" t="s">
        <v>82</v>
      </c>
      <c r="C21" s="37"/>
      <c r="D21" s="109"/>
      <c r="E21" s="80" t="s">
        <v>83</v>
      </c>
      <c r="F21" s="80"/>
      <c r="T21" s="96"/>
      <c r="U21" s="106"/>
      <c r="Y21" s="92">
        <f t="shared" si="1"/>
        <v>0</v>
      </c>
      <c r="Z21" s="96"/>
    </row>
    <row r="22" spans="1:31" hidden="1" x14ac:dyDescent="0.25">
      <c r="A22" s="28" t="s">
        <v>84</v>
      </c>
      <c r="B22" s="36" t="s">
        <v>85</v>
      </c>
      <c r="C22" s="37"/>
      <c r="D22" s="109"/>
      <c r="E22" s="80" t="s">
        <v>86</v>
      </c>
      <c r="F22" s="80"/>
      <c r="H22" s="96"/>
      <c r="T22" s="96"/>
      <c r="U22" s="106"/>
      <c r="Y22" s="92">
        <f t="shared" si="1"/>
        <v>0</v>
      </c>
      <c r="Z22" s="96"/>
    </row>
    <row r="23" spans="1:31" hidden="1" x14ac:dyDescent="0.25">
      <c r="A23" s="28" t="s">
        <v>87</v>
      </c>
      <c r="B23" s="36" t="s">
        <v>88</v>
      </c>
      <c r="C23" s="37"/>
      <c r="D23" s="109"/>
      <c r="E23" s="80" t="s">
        <v>89</v>
      </c>
      <c r="F23" s="80"/>
      <c r="H23" s="96"/>
      <c r="T23" s="96"/>
      <c r="U23" s="106"/>
      <c r="Y23" s="92">
        <f t="shared" si="1"/>
        <v>0</v>
      </c>
      <c r="Z23" s="96"/>
    </row>
    <row r="24" spans="1:31" x14ac:dyDescent="0.25">
      <c r="A24" s="28" t="s">
        <v>90</v>
      </c>
      <c r="B24" s="36" t="s">
        <v>91</v>
      </c>
      <c r="C24" s="37" t="s">
        <v>92</v>
      </c>
      <c r="D24" s="109"/>
      <c r="E24" s="80" t="s">
        <v>93</v>
      </c>
      <c r="F24" s="104" t="s">
        <v>15</v>
      </c>
      <c r="G24" s="198" t="s">
        <v>94</v>
      </c>
      <c r="H24" s="198"/>
      <c r="I24" s="198"/>
      <c r="T24" s="96"/>
      <c r="U24" s="106"/>
      <c r="Y24" s="92">
        <f t="shared" si="1"/>
        <v>0</v>
      </c>
      <c r="Z24" s="96"/>
    </row>
    <row r="25" spans="1:31" hidden="1" x14ac:dyDescent="0.25">
      <c r="A25" s="28" t="s">
        <v>95</v>
      </c>
      <c r="B25" s="36" t="s">
        <v>96</v>
      </c>
      <c r="C25" s="37"/>
      <c r="D25" s="109"/>
      <c r="E25" s="80" t="s">
        <v>97</v>
      </c>
      <c r="F25" s="104" t="s">
        <v>15</v>
      </c>
      <c r="H25" s="96"/>
      <c r="T25" s="96"/>
      <c r="U25" s="106"/>
      <c r="Y25" s="92">
        <f t="shared" si="1"/>
        <v>0</v>
      </c>
      <c r="Z25" s="96"/>
    </row>
    <row r="26" spans="1:31" hidden="1" x14ac:dyDescent="0.25">
      <c r="A26" s="28" t="s">
        <v>98</v>
      </c>
      <c r="B26" s="36" t="s">
        <v>99</v>
      </c>
      <c r="C26" s="37"/>
      <c r="D26" s="109"/>
      <c r="E26" s="80" t="s">
        <v>100</v>
      </c>
      <c r="F26" s="104" t="s">
        <v>15</v>
      </c>
      <c r="H26" s="96"/>
      <c r="T26" s="96"/>
      <c r="U26" s="106"/>
      <c r="Y26" s="92">
        <f t="shared" si="1"/>
        <v>0</v>
      </c>
      <c r="Z26" s="96"/>
    </row>
    <row r="27" spans="1:31" x14ac:dyDescent="0.25">
      <c r="A27" s="45" t="s">
        <v>101</v>
      </c>
      <c r="B27" s="39" t="s">
        <v>102</v>
      </c>
      <c r="C27" s="40" t="s">
        <v>92</v>
      </c>
      <c r="D27" s="110"/>
      <c r="E27" s="89" t="s">
        <v>103</v>
      </c>
      <c r="F27" s="104" t="s">
        <v>15</v>
      </c>
      <c r="H27" s="96"/>
      <c r="T27" s="96"/>
      <c r="U27" s="106"/>
      <c r="Y27" s="92">
        <f t="shared" si="1"/>
        <v>0</v>
      </c>
      <c r="Z27" s="96"/>
    </row>
    <row r="28" spans="1:31" x14ac:dyDescent="0.25">
      <c r="A28" s="28" t="s">
        <v>104</v>
      </c>
      <c r="B28" s="26" t="s">
        <v>105</v>
      </c>
      <c r="C28" s="27" t="s">
        <v>27</v>
      </c>
      <c r="D28" s="105" t="s">
        <v>598</v>
      </c>
      <c r="E28" s="80" t="s">
        <v>106</v>
      </c>
      <c r="F28" s="80" t="s">
        <v>29</v>
      </c>
      <c r="G28" s="195" t="s">
        <v>16</v>
      </c>
      <c r="H28" s="195"/>
      <c r="I28" s="195"/>
      <c r="J28" s="92"/>
      <c r="L28" s="11"/>
      <c r="M28" s="11"/>
      <c r="O28" s="7"/>
      <c r="P28" s="92"/>
      <c r="R28" s="11"/>
      <c r="U28" s="7"/>
      <c r="W28" s="96"/>
      <c r="X28" s="106"/>
      <c r="AB28" s="92">
        <f>SUM(Z28*AA28)</f>
        <v>0</v>
      </c>
      <c r="AC28" s="96"/>
      <c r="AD28" s="7"/>
      <c r="AE28" s="11"/>
    </row>
    <row r="29" spans="1:31" x14ac:dyDescent="0.25">
      <c r="A29" s="28" t="s">
        <v>107</v>
      </c>
      <c r="B29" s="26" t="s">
        <v>108</v>
      </c>
      <c r="C29" s="32" t="s">
        <v>27</v>
      </c>
      <c r="D29" s="32" t="s">
        <v>598</v>
      </c>
      <c r="E29" s="80" t="s">
        <v>109</v>
      </c>
      <c r="F29" s="80" t="s">
        <v>29</v>
      </c>
      <c r="H29" s="96"/>
      <c r="T29" s="96"/>
      <c r="U29" s="106"/>
      <c r="Y29" s="92">
        <f t="shared" ref="Y29:Y34" si="2">SUM(W29*X29)</f>
        <v>0</v>
      </c>
      <c r="Z29" s="96"/>
    </row>
    <row r="30" spans="1:31" hidden="1" x14ac:dyDescent="0.25">
      <c r="A30" s="45" t="s">
        <v>110</v>
      </c>
      <c r="B30" s="31" t="s">
        <v>111</v>
      </c>
      <c r="C30" s="32"/>
      <c r="D30" s="107"/>
      <c r="E30" s="89" t="s">
        <v>112</v>
      </c>
      <c r="F30" s="80"/>
      <c r="T30" s="96"/>
      <c r="Y30" s="92">
        <f t="shared" si="2"/>
        <v>0</v>
      </c>
      <c r="Z30" s="96"/>
    </row>
    <row r="31" spans="1:31" x14ac:dyDescent="0.25">
      <c r="A31" s="28" t="s">
        <v>113</v>
      </c>
      <c r="B31" s="41" t="s">
        <v>114</v>
      </c>
      <c r="C31" s="42" t="s">
        <v>115</v>
      </c>
      <c r="D31" s="42"/>
      <c r="E31" s="80" t="s">
        <v>116</v>
      </c>
      <c r="F31" s="80" t="s">
        <v>47</v>
      </c>
      <c r="G31" s="199" t="s">
        <v>117</v>
      </c>
      <c r="H31" s="199"/>
      <c r="I31" s="199"/>
      <c r="T31" s="96"/>
      <c r="Y31" s="92">
        <f t="shared" si="2"/>
        <v>0</v>
      </c>
      <c r="Z31" s="96"/>
    </row>
    <row r="32" spans="1:31" hidden="1" x14ac:dyDescent="0.25">
      <c r="A32" s="28" t="s">
        <v>600</v>
      </c>
      <c r="B32" s="43" t="s">
        <v>601</v>
      </c>
      <c r="C32" s="44"/>
      <c r="D32" s="42"/>
      <c r="E32" s="80" t="s">
        <v>602</v>
      </c>
      <c r="F32" s="80"/>
      <c r="H32" s="96"/>
      <c r="T32" s="96"/>
      <c r="U32" s="106"/>
      <c r="Y32" s="92">
        <f t="shared" si="2"/>
        <v>0</v>
      </c>
      <c r="Z32" s="96"/>
    </row>
    <row r="33" spans="1:31" x14ac:dyDescent="0.25">
      <c r="A33" s="45" t="s">
        <v>125</v>
      </c>
      <c r="B33" s="46" t="s">
        <v>126</v>
      </c>
      <c r="C33" s="47" t="s">
        <v>132</v>
      </c>
      <c r="D33" s="111"/>
      <c r="E33" s="89" t="s">
        <v>128</v>
      </c>
      <c r="F33" s="80" t="s">
        <v>129</v>
      </c>
      <c r="H33" s="96"/>
      <c r="T33" s="96"/>
      <c r="U33" s="106"/>
      <c r="Y33" s="92">
        <f t="shared" si="2"/>
        <v>0</v>
      </c>
      <c r="Z33" s="96"/>
    </row>
    <row r="34" spans="1:31" x14ac:dyDescent="0.25">
      <c r="A34" s="45" t="s">
        <v>125</v>
      </c>
      <c r="B34" s="46" t="s">
        <v>131</v>
      </c>
      <c r="C34" s="47" t="s">
        <v>132</v>
      </c>
      <c r="D34" s="111"/>
      <c r="E34" s="89" t="s">
        <v>128</v>
      </c>
      <c r="F34" s="104" t="s">
        <v>15</v>
      </c>
      <c r="H34" s="96"/>
      <c r="T34" s="96"/>
      <c r="U34" s="106"/>
      <c r="Y34" s="92">
        <f t="shared" si="2"/>
        <v>0</v>
      </c>
      <c r="Z34" s="96"/>
    </row>
    <row r="35" spans="1:31" hidden="1" x14ac:dyDescent="0.25">
      <c r="A35" s="28" t="s">
        <v>135</v>
      </c>
      <c r="B35" s="48" t="s">
        <v>136</v>
      </c>
      <c r="C35" s="49"/>
      <c r="D35" s="112"/>
      <c r="E35" s="80"/>
      <c r="F35" s="80"/>
      <c r="G35" s="204" t="s">
        <v>137</v>
      </c>
      <c r="H35" s="204"/>
      <c r="I35" s="204"/>
      <c r="T35" s="96"/>
      <c r="U35" s="106"/>
      <c r="Y35" s="92"/>
      <c r="Z35" s="96"/>
    </row>
    <row r="36" spans="1:31" hidden="1" x14ac:dyDescent="0.25">
      <c r="A36" s="28" t="s">
        <v>138</v>
      </c>
      <c r="B36" s="48" t="s">
        <v>139</v>
      </c>
      <c r="C36" s="49"/>
      <c r="D36" s="112"/>
      <c r="E36" s="80"/>
      <c r="F36" s="80"/>
      <c r="H36" s="96"/>
      <c r="T36" s="96"/>
      <c r="U36" s="106"/>
      <c r="Y36" s="92"/>
      <c r="Z36" s="96"/>
    </row>
    <row r="37" spans="1:31" hidden="1" x14ac:dyDescent="0.25">
      <c r="A37" s="45" t="s">
        <v>140</v>
      </c>
      <c r="B37" s="50" t="s">
        <v>141</v>
      </c>
      <c r="C37" s="51"/>
      <c r="D37" s="113"/>
      <c r="E37" s="89"/>
      <c r="F37" s="80"/>
      <c r="H37" s="96"/>
      <c r="T37" s="96"/>
      <c r="U37" s="106"/>
      <c r="Y37" s="92"/>
      <c r="Z37" s="96"/>
    </row>
    <row r="38" spans="1:31" hidden="1" x14ac:dyDescent="0.25">
      <c r="A38" s="28" t="s">
        <v>161</v>
      </c>
      <c r="B38" s="52" t="s">
        <v>162</v>
      </c>
      <c r="C38" s="53"/>
      <c r="D38" s="114"/>
      <c r="E38" s="80" t="s">
        <v>163</v>
      </c>
      <c r="F38" s="80"/>
      <c r="G38" s="205" t="s">
        <v>164</v>
      </c>
      <c r="H38" s="205"/>
      <c r="I38" s="205"/>
      <c r="T38" s="96"/>
      <c r="U38" s="106"/>
      <c r="Y38" s="92">
        <f>SUM(W38*X38)</f>
        <v>0</v>
      </c>
      <c r="Z38" s="96"/>
    </row>
    <row r="39" spans="1:31" hidden="1" x14ac:dyDescent="0.25">
      <c r="A39" s="45" t="s">
        <v>165</v>
      </c>
      <c r="B39" s="54" t="s">
        <v>166</v>
      </c>
      <c r="C39" s="55"/>
      <c r="D39" s="115"/>
      <c r="E39" s="89" t="s">
        <v>167</v>
      </c>
      <c r="F39" s="80"/>
      <c r="H39" s="96"/>
      <c r="T39" s="96"/>
      <c r="U39" s="106"/>
      <c r="Y39" s="92">
        <f>SUM(W39*X39)</f>
        <v>0</v>
      </c>
      <c r="Z39" s="96"/>
    </row>
    <row r="40" spans="1:31" x14ac:dyDescent="0.25">
      <c r="A40" s="28" t="s">
        <v>168</v>
      </c>
      <c r="B40" s="48" t="s">
        <v>169</v>
      </c>
      <c r="C40" s="49" t="s">
        <v>170</v>
      </c>
      <c r="D40" s="112" t="s">
        <v>603</v>
      </c>
      <c r="E40" s="80" t="s">
        <v>171</v>
      </c>
      <c r="F40" s="104" t="s">
        <v>15</v>
      </c>
      <c r="G40" s="204" t="s">
        <v>137</v>
      </c>
      <c r="H40" s="204"/>
      <c r="I40" s="204"/>
      <c r="J40" s="92"/>
      <c r="L40" s="11"/>
      <c r="M40" s="11"/>
      <c r="O40" s="7"/>
      <c r="P40" s="92"/>
      <c r="R40" s="11"/>
      <c r="U40" s="7"/>
      <c r="X40" s="11"/>
      <c r="AC40" s="11"/>
      <c r="AD40" s="7"/>
      <c r="AE40" s="11"/>
    </row>
    <row r="41" spans="1:31" x14ac:dyDescent="0.25">
      <c r="A41" s="28" t="s">
        <v>172</v>
      </c>
      <c r="B41" s="48" t="s">
        <v>173</v>
      </c>
      <c r="C41" s="49" t="s">
        <v>170</v>
      </c>
      <c r="D41" s="112" t="s">
        <v>603</v>
      </c>
      <c r="E41" s="80" t="s">
        <v>174</v>
      </c>
      <c r="F41" s="104" t="s">
        <v>15</v>
      </c>
      <c r="H41" s="96"/>
      <c r="T41" s="96"/>
      <c r="U41" s="106"/>
      <c r="Y41" s="92"/>
      <c r="Z41" s="96"/>
    </row>
    <row r="42" spans="1:31" x14ac:dyDescent="0.25">
      <c r="A42" s="28" t="s">
        <v>175</v>
      </c>
      <c r="B42" s="48" t="s">
        <v>176</v>
      </c>
      <c r="C42" s="49" t="s">
        <v>170</v>
      </c>
      <c r="D42" s="112" t="s">
        <v>603</v>
      </c>
      <c r="E42" s="80" t="s">
        <v>177</v>
      </c>
      <c r="F42" s="104" t="s">
        <v>15</v>
      </c>
      <c r="T42" s="96"/>
      <c r="U42" s="106"/>
      <c r="Y42" s="92"/>
      <c r="Z42" s="96"/>
    </row>
    <row r="43" spans="1:31" hidden="1" x14ac:dyDescent="0.25">
      <c r="A43" s="28" t="s">
        <v>178</v>
      </c>
      <c r="B43" s="48" t="s">
        <v>179</v>
      </c>
      <c r="C43" s="49"/>
      <c r="D43" s="112"/>
      <c r="E43" s="80" t="s">
        <v>180</v>
      </c>
      <c r="F43" s="80"/>
      <c r="H43" s="96"/>
      <c r="T43" s="96"/>
      <c r="U43" s="106"/>
      <c r="Y43" s="92"/>
      <c r="Z43" s="96"/>
    </row>
    <row r="44" spans="1:31" hidden="1" x14ac:dyDescent="0.25">
      <c r="A44" s="28" t="s">
        <v>185</v>
      </c>
      <c r="B44" s="48" t="s">
        <v>186</v>
      </c>
      <c r="C44" s="49"/>
      <c r="D44" s="112" t="s">
        <v>603</v>
      </c>
      <c r="E44" s="80"/>
      <c r="F44" s="80"/>
      <c r="H44" s="96"/>
      <c r="T44" s="96"/>
      <c r="U44" s="106"/>
      <c r="Y44" s="92"/>
      <c r="Z44" s="96"/>
    </row>
    <row r="45" spans="1:31" hidden="1" x14ac:dyDescent="0.25">
      <c r="A45" s="28" t="s">
        <v>187</v>
      </c>
      <c r="B45" s="48" t="s">
        <v>188</v>
      </c>
      <c r="C45" s="49"/>
      <c r="D45" s="112" t="s">
        <v>603</v>
      </c>
      <c r="E45" s="80"/>
      <c r="F45" s="80"/>
      <c r="H45" s="96"/>
      <c r="T45" s="96"/>
      <c r="U45" s="106"/>
      <c r="Y45" s="92"/>
      <c r="Z45" s="96"/>
    </row>
    <row r="46" spans="1:31" x14ac:dyDescent="0.25">
      <c r="A46" s="28" t="s">
        <v>189</v>
      </c>
      <c r="B46" s="48" t="s">
        <v>190</v>
      </c>
      <c r="C46" s="49" t="s">
        <v>170</v>
      </c>
      <c r="D46" s="112" t="s">
        <v>603</v>
      </c>
      <c r="E46" s="80" t="s">
        <v>191</v>
      </c>
      <c r="F46" s="104" t="s">
        <v>15</v>
      </c>
      <c r="H46" s="96"/>
      <c r="T46" s="96"/>
      <c r="U46" s="106"/>
      <c r="Y46" s="92"/>
      <c r="Z46" s="96"/>
    </row>
    <row r="47" spans="1:31" hidden="1" x14ac:dyDescent="0.25">
      <c r="A47" s="28" t="s">
        <v>192</v>
      </c>
      <c r="B47" s="48" t="s">
        <v>193</v>
      </c>
      <c r="C47" s="49"/>
      <c r="D47" s="112"/>
      <c r="E47" s="80"/>
      <c r="F47" s="80"/>
      <c r="H47" s="96"/>
      <c r="T47" s="96"/>
      <c r="U47" s="106"/>
      <c r="Y47" s="92"/>
      <c r="Z47" s="96"/>
    </row>
    <row r="48" spans="1:31" hidden="1" x14ac:dyDescent="0.25">
      <c r="A48" s="28" t="s">
        <v>194</v>
      </c>
      <c r="B48" s="48" t="s">
        <v>195</v>
      </c>
      <c r="C48" s="49"/>
      <c r="D48" s="112"/>
      <c r="E48" s="80"/>
      <c r="F48" s="80"/>
      <c r="H48" s="96"/>
      <c r="T48" s="96"/>
      <c r="U48" s="106"/>
      <c r="Y48" s="92"/>
      <c r="Z48" s="96"/>
    </row>
    <row r="49" spans="1:26" hidden="1" x14ac:dyDescent="0.25">
      <c r="A49" s="28" t="s">
        <v>196</v>
      </c>
      <c r="B49" s="48" t="s">
        <v>197</v>
      </c>
      <c r="C49" s="49"/>
      <c r="D49" s="112"/>
      <c r="E49" s="80" t="s">
        <v>198</v>
      </c>
      <c r="F49" s="80"/>
      <c r="H49" s="96"/>
      <c r="T49" s="96"/>
      <c r="U49" s="106"/>
      <c r="Y49" s="92"/>
      <c r="Z49" s="96"/>
    </row>
    <row r="50" spans="1:26" hidden="1" x14ac:dyDescent="0.25">
      <c r="A50" s="28" t="s">
        <v>199</v>
      </c>
      <c r="B50" s="48" t="s">
        <v>200</v>
      </c>
      <c r="C50" s="49"/>
      <c r="D50" s="112"/>
      <c r="E50" s="80" t="s">
        <v>201</v>
      </c>
      <c r="F50" s="80"/>
      <c r="H50" s="96"/>
      <c r="T50" s="96"/>
      <c r="U50" s="106"/>
      <c r="Y50" s="92"/>
      <c r="Z50" s="96"/>
    </row>
    <row r="51" spans="1:26" hidden="1" x14ac:dyDescent="0.25">
      <c r="A51" s="28" t="s">
        <v>202</v>
      </c>
      <c r="B51" s="48" t="s">
        <v>203</v>
      </c>
      <c r="C51" s="49"/>
      <c r="D51" s="112"/>
      <c r="E51" s="80" t="s">
        <v>204</v>
      </c>
      <c r="F51" s="80"/>
      <c r="H51" s="96"/>
      <c r="T51" s="96"/>
      <c r="U51" s="106"/>
      <c r="Y51" s="92"/>
      <c r="Z51" s="96"/>
    </row>
    <row r="52" spans="1:26" hidden="1" x14ac:dyDescent="0.25">
      <c r="A52" s="28" t="s">
        <v>205</v>
      </c>
      <c r="B52" s="48" t="s">
        <v>206</v>
      </c>
      <c r="C52" s="49"/>
      <c r="D52" s="112"/>
      <c r="E52" s="80" t="s">
        <v>207</v>
      </c>
      <c r="F52" s="80"/>
      <c r="H52" s="96"/>
      <c r="T52" s="96"/>
      <c r="U52" s="106"/>
      <c r="Y52" s="92"/>
      <c r="Z52" s="96"/>
    </row>
    <row r="53" spans="1:26" hidden="1" x14ac:dyDescent="0.25">
      <c r="A53" s="45" t="s">
        <v>208</v>
      </c>
      <c r="B53" s="50" t="s">
        <v>209</v>
      </c>
      <c r="C53" s="51"/>
      <c r="D53" s="113"/>
      <c r="E53" s="89" t="s">
        <v>210</v>
      </c>
      <c r="F53" s="80"/>
      <c r="H53" s="96"/>
      <c r="T53" s="96"/>
      <c r="U53" s="106"/>
      <c r="Y53" s="92"/>
      <c r="Z53" s="96"/>
    </row>
    <row r="54" spans="1:26" x14ac:dyDescent="0.25">
      <c r="A54" s="28" t="s">
        <v>211</v>
      </c>
      <c r="B54" s="56" t="s">
        <v>212</v>
      </c>
      <c r="C54" s="34" t="s">
        <v>60</v>
      </c>
      <c r="D54" s="116"/>
      <c r="E54" s="80" t="s">
        <v>213</v>
      </c>
      <c r="F54" s="80" t="s">
        <v>62</v>
      </c>
      <c r="G54" s="200" t="s">
        <v>214</v>
      </c>
      <c r="H54" s="200"/>
      <c r="I54" s="200"/>
      <c r="T54" s="96"/>
      <c r="U54" s="106"/>
      <c r="Y54" s="92">
        <f>SUM(W54*X54)</f>
        <v>0</v>
      </c>
      <c r="Z54" s="96"/>
    </row>
    <row r="55" spans="1:26" x14ac:dyDescent="0.25">
      <c r="A55" s="28" t="s">
        <v>215</v>
      </c>
      <c r="B55" s="56" t="s">
        <v>216</v>
      </c>
      <c r="C55" s="34" t="s">
        <v>66</v>
      </c>
      <c r="D55" s="105" t="s">
        <v>598</v>
      </c>
      <c r="E55" s="80" t="s">
        <v>217</v>
      </c>
      <c r="F55" s="80" t="s">
        <v>29</v>
      </c>
      <c r="H55" s="96"/>
      <c r="T55" s="96"/>
      <c r="U55" s="106"/>
      <c r="Y55" s="92">
        <f>SUM(W55*X55)</f>
        <v>0</v>
      </c>
      <c r="Z55" s="96"/>
    </row>
    <row r="56" spans="1:26" hidden="1" x14ac:dyDescent="0.25">
      <c r="A56" s="28" t="s">
        <v>218</v>
      </c>
      <c r="B56" s="56" t="s">
        <v>219</v>
      </c>
      <c r="C56" s="57"/>
      <c r="D56" s="116"/>
      <c r="E56" s="80" t="s">
        <v>220</v>
      </c>
      <c r="F56" s="80"/>
      <c r="H56" s="96"/>
      <c r="T56" s="96"/>
      <c r="U56" s="106"/>
      <c r="Y56" s="92">
        <f>SUM(W56*X56)</f>
        <v>0</v>
      </c>
      <c r="Z56" s="96"/>
    </row>
    <row r="57" spans="1:26" x14ac:dyDescent="0.25">
      <c r="A57" s="28" t="s">
        <v>221</v>
      </c>
      <c r="B57" s="56" t="s">
        <v>222</v>
      </c>
      <c r="C57" s="34" t="s">
        <v>66</v>
      </c>
      <c r="D57" s="116" t="s">
        <v>598</v>
      </c>
      <c r="E57" s="80" t="s">
        <v>223</v>
      </c>
      <c r="F57" s="80" t="s">
        <v>29</v>
      </c>
      <c r="H57" s="96"/>
      <c r="T57" s="96"/>
      <c r="Y57" s="92">
        <f>SUM(W57*X57)</f>
        <v>0</v>
      </c>
      <c r="Z57" s="96"/>
    </row>
    <row r="58" spans="1:26" hidden="1" x14ac:dyDescent="0.25">
      <c r="A58" s="28" t="s">
        <v>226</v>
      </c>
      <c r="B58" s="56" t="s">
        <v>227</v>
      </c>
      <c r="C58" s="57"/>
      <c r="D58" s="116"/>
      <c r="E58" s="80" t="s">
        <v>228</v>
      </c>
      <c r="F58" s="80"/>
      <c r="H58" s="96"/>
      <c r="T58" s="96"/>
      <c r="Y58" s="92"/>
      <c r="Z58" s="96"/>
    </row>
    <row r="59" spans="1:26" hidden="1" x14ac:dyDescent="0.25">
      <c r="A59" s="28" t="s">
        <v>229</v>
      </c>
      <c r="B59" s="56" t="s">
        <v>230</v>
      </c>
      <c r="C59" s="57"/>
      <c r="D59" s="116"/>
      <c r="E59" s="80" t="s">
        <v>231</v>
      </c>
      <c r="F59" s="80"/>
      <c r="H59" s="96"/>
      <c r="T59" s="96"/>
      <c r="Y59" s="92">
        <f t="shared" ref="Y59:Y65" si="3">SUM(W59*X59)</f>
        <v>0</v>
      </c>
      <c r="Z59" s="96"/>
    </row>
    <row r="60" spans="1:26" hidden="1" x14ac:dyDescent="0.25">
      <c r="A60" s="28" t="s">
        <v>232</v>
      </c>
      <c r="B60" s="56" t="s">
        <v>233</v>
      </c>
      <c r="C60" s="57"/>
      <c r="D60" s="116"/>
      <c r="E60" s="80" t="s">
        <v>234</v>
      </c>
      <c r="F60" s="80"/>
      <c r="H60" s="96"/>
      <c r="T60" s="96"/>
      <c r="Y60" s="92">
        <f t="shared" si="3"/>
        <v>0</v>
      </c>
      <c r="Z60" s="96"/>
    </row>
    <row r="61" spans="1:26" hidden="1" x14ac:dyDescent="0.25">
      <c r="A61" s="28" t="s">
        <v>235</v>
      </c>
      <c r="B61" s="56" t="s">
        <v>236</v>
      </c>
      <c r="C61" s="57"/>
      <c r="D61" s="116"/>
      <c r="E61" s="80" t="s">
        <v>237</v>
      </c>
      <c r="F61" s="80"/>
      <c r="H61" s="96"/>
      <c r="T61" s="96"/>
      <c r="Y61" s="92">
        <f t="shared" si="3"/>
        <v>0</v>
      </c>
      <c r="Z61" s="96"/>
    </row>
    <row r="62" spans="1:26" hidden="1" x14ac:dyDescent="0.25">
      <c r="A62" s="28" t="s">
        <v>238</v>
      </c>
      <c r="B62" s="56" t="s">
        <v>239</v>
      </c>
      <c r="C62" s="57"/>
      <c r="D62" s="116"/>
      <c r="E62" s="80" t="s">
        <v>240</v>
      </c>
      <c r="F62" s="80"/>
      <c r="H62" s="96"/>
      <c r="T62" s="96"/>
      <c r="Y62" s="92">
        <f t="shared" si="3"/>
        <v>0</v>
      </c>
      <c r="Z62" s="96"/>
    </row>
    <row r="63" spans="1:26" x14ac:dyDescent="0.25">
      <c r="A63" s="45" t="s">
        <v>241</v>
      </c>
      <c r="B63" s="58" t="s">
        <v>242</v>
      </c>
      <c r="C63" s="59" t="s">
        <v>604</v>
      </c>
      <c r="D63" s="117"/>
      <c r="E63" s="89" t="s">
        <v>244</v>
      </c>
      <c r="F63" s="104" t="s">
        <v>15</v>
      </c>
      <c r="H63" s="96"/>
      <c r="T63" s="96"/>
      <c r="Y63" s="92">
        <f t="shared" si="3"/>
        <v>0</v>
      </c>
      <c r="Z63" s="96"/>
    </row>
    <row r="64" spans="1:26" hidden="1" x14ac:dyDescent="0.25">
      <c r="A64" s="28"/>
      <c r="B64" s="10"/>
      <c r="C64" s="118"/>
      <c r="D64" s="10"/>
      <c r="G64" s="119" t="e">
        <f>SUM(E64*#REF!)</f>
        <v>#REF!</v>
      </c>
      <c r="H64" s="96"/>
      <c r="T64" s="96"/>
      <c r="Y64" s="92">
        <f t="shared" si="3"/>
        <v>0</v>
      </c>
      <c r="Z64" s="96"/>
    </row>
    <row r="65" spans="1:27" hidden="1" x14ac:dyDescent="0.25">
      <c r="A65" s="28"/>
      <c r="C65" s="120"/>
      <c r="G65" s="119" t="e">
        <f>SUM(E65*#REF!)</f>
        <v>#REF!</v>
      </c>
      <c r="H65" s="96"/>
      <c r="T65" s="96"/>
      <c r="Y65" s="92">
        <f t="shared" si="3"/>
        <v>0</v>
      </c>
      <c r="Z65" s="96"/>
    </row>
    <row r="66" spans="1:27" x14ac:dyDescent="0.25">
      <c r="A66" s="28"/>
      <c r="C66" s="120"/>
      <c r="E66" s="10"/>
      <c r="F66" s="10"/>
      <c r="H66" s="96"/>
      <c r="T66" s="96"/>
      <c r="Y66" s="92"/>
      <c r="Z66" s="96"/>
    </row>
    <row r="67" spans="1:27" ht="30" customHeight="1" x14ac:dyDescent="0.25">
      <c r="A67" s="61"/>
      <c r="B67" s="61"/>
      <c r="C67" s="62"/>
      <c r="D67" s="61"/>
      <c r="E67" s="61"/>
      <c r="F67" s="61"/>
      <c r="G67" s="121"/>
      <c r="Y67" s="92"/>
    </row>
    <row r="68" spans="1:27" ht="21.75" customHeight="1" x14ac:dyDescent="0.25">
      <c r="A68" s="206" t="s">
        <v>248</v>
      </c>
      <c r="B68" s="206"/>
      <c r="C68" s="206"/>
      <c r="D68" s="206"/>
      <c r="E68" s="206"/>
      <c r="F68" s="64"/>
      <c r="G68" s="122"/>
      <c r="H68" s="96"/>
      <c r="I68" s="106"/>
      <c r="S68" s="92"/>
      <c r="Y68" s="92">
        <f>SUM(W68*X68)</f>
        <v>0</v>
      </c>
    </row>
    <row r="69" spans="1:27" x14ac:dyDescent="0.25">
      <c r="A69" s="123" t="s">
        <v>249</v>
      </c>
      <c r="B69" s="99" t="s">
        <v>250</v>
      </c>
      <c r="C69" s="99"/>
      <c r="D69" s="99"/>
      <c r="E69" s="99" t="s">
        <v>251</v>
      </c>
      <c r="F69" s="99"/>
      <c r="G69" s="85"/>
      <c r="H69" s="96"/>
      <c r="S69" s="92"/>
      <c r="Y69" s="92"/>
    </row>
    <row r="70" spans="1:27" x14ac:dyDescent="0.25">
      <c r="A70" s="124" t="s">
        <v>252</v>
      </c>
      <c r="B70" s="71" t="s">
        <v>253</v>
      </c>
      <c r="C70" s="71"/>
      <c r="D70" s="71"/>
      <c r="E70" s="73" t="s">
        <v>254</v>
      </c>
      <c r="F70" s="73"/>
      <c r="G70" s="200" t="s">
        <v>214</v>
      </c>
      <c r="H70" s="200"/>
      <c r="I70" s="200"/>
      <c r="S70" s="92"/>
      <c r="Y70" s="92">
        <f>SUM(W70*X70)</f>
        <v>0</v>
      </c>
    </row>
    <row r="71" spans="1:27" x14ac:dyDescent="0.25">
      <c r="A71" s="28" t="s">
        <v>266</v>
      </c>
      <c r="B71" s="78" t="s">
        <v>267</v>
      </c>
      <c r="C71" s="78"/>
      <c r="D71" s="78"/>
      <c r="E71" s="80" t="s">
        <v>268</v>
      </c>
      <c r="F71" s="80" t="s">
        <v>129</v>
      </c>
      <c r="G71" s="201" t="s">
        <v>605</v>
      </c>
      <c r="H71" s="201"/>
      <c r="I71" s="201"/>
      <c r="S71" s="92"/>
      <c r="Y71" s="125">
        <f>SUM(Y74)</f>
        <v>0</v>
      </c>
    </row>
    <row r="72" spans="1:27" x14ac:dyDescent="0.25">
      <c r="A72" s="28" t="s">
        <v>293</v>
      </c>
      <c r="B72" s="78" t="s">
        <v>294</v>
      </c>
      <c r="C72" s="78"/>
      <c r="D72" s="78"/>
      <c r="E72" s="80" t="s">
        <v>295</v>
      </c>
      <c r="F72" s="80" t="s">
        <v>261</v>
      </c>
      <c r="H72" s="96"/>
      <c r="S72" s="92"/>
      <c r="Y72" s="92"/>
    </row>
    <row r="73" spans="1:27" hidden="1" x14ac:dyDescent="0.25">
      <c r="A73" s="28" t="s">
        <v>308</v>
      </c>
      <c r="B73" s="78"/>
      <c r="C73" s="78"/>
      <c r="D73" s="78"/>
      <c r="E73" s="80" t="s">
        <v>309</v>
      </c>
      <c r="F73" s="80" t="s">
        <v>129</v>
      </c>
      <c r="H73" s="96"/>
      <c r="S73" s="92"/>
      <c r="Y73" s="126">
        <f>SUM(Y70:Y71)</f>
        <v>0</v>
      </c>
    </row>
    <row r="74" spans="1:27" hidden="1" x14ac:dyDescent="0.25">
      <c r="A74" s="28" t="s">
        <v>333</v>
      </c>
      <c r="B74" s="78"/>
      <c r="C74" s="78"/>
      <c r="D74" s="78"/>
      <c r="E74" s="80" t="s">
        <v>335</v>
      </c>
      <c r="F74" s="80" t="s">
        <v>129</v>
      </c>
      <c r="H74" s="96"/>
      <c r="S74" s="92"/>
      <c r="V74" s="127"/>
      <c r="W74" s="127"/>
      <c r="Y74" s="128">
        <f>SUM(G130:G178)</f>
        <v>0</v>
      </c>
    </row>
    <row r="75" spans="1:27" hidden="1" x14ac:dyDescent="0.25">
      <c r="A75" s="28" t="s">
        <v>336</v>
      </c>
      <c r="B75" s="78"/>
      <c r="C75" s="78"/>
      <c r="D75" s="78"/>
      <c r="E75" s="80" t="s">
        <v>606</v>
      </c>
      <c r="F75" s="80" t="s">
        <v>129</v>
      </c>
      <c r="H75" s="96"/>
      <c r="S75" s="92"/>
      <c r="Y75" s="92"/>
    </row>
    <row r="76" spans="1:27" s="11" customFormat="1" hidden="1" x14ac:dyDescent="0.25">
      <c r="A76" s="28" t="s">
        <v>341</v>
      </c>
      <c r="B76" s="78"/>
      <c r="C76" s="78"/>
      <c r="D76" s="78"/>
      <c r="E76" s="80" t="s">
        <v>607</v>
      </c>
      <c r="F76" s="80" t="s">
        <v>129</v>
      </c>
      <c r="G76" s="92"/>
      <c r="H76" s="96"/>
      <c r="L76" s="7"/>
      <c r="M76" s="92"/>
      <c r="R76" s="7"/>
      <c r="S76" s="92"/>
      <c r="X76" s="7"/>
      <c r="Y76" s="92"/>
      <c r="AA76" s="7"/>
    </row>
    <row r="77" spans="1:27" s="11" customFormat="1" hidden="1" x14ac:dyDescent="0.25">
      <c r="A77" s="28" t="s">
        <v>344</v>
      </c>
      <c r="B77" s="78"/>
      <c r="C77" s="78"/>
      <c r="D77" s="78"/>
      <c r="E77" s="80" t="s">
        <v>346</v>
      </c>
      <c r="F77" s="80" t="s">
        <v>129</v>
      </c>
      <c r="G77" s="92"/>
      <c r="H77" s="96"/>
      <c r="L77" s="7"/>
      <c r="M77" s="92"/>
      <c r="R77" s="7"/>
      <c r="S77" s="92"/>
      <c r="X77" s="7"/>
      <c r="Y77" s="92"/>
      <c r="AA77" s="7"/>
    </row>
    <row r="78" spans="1:27" s="11" customFormat="1" ht="12.75" hidden="1" customHeight="1" x14ac:dyDescent="0.25">
      <c r="A78" s="28" t="s">
        <v>352</v>
      </c>
      <c r="B78" s="78"/>
      <c r="C78" s="78"/>
      <c r="D78" s="78"/>
      <c r="E78" s="80" t="s">
        <v>608</v>
      </c>
      <c r="F78" s="80" t="s">
        <v>129</v>
      </c>
      <c r="G78" s="92"/>
      <c r="H78" s="96"/>
      <c r="L78" s="7"/>
      <c r="M78" s="92"/>
      <c r="R78" s="7"/>
      <c r="S78" s="92"/>
      <c r="X78" s="7"/>
      <c r="Y78" s="92"/>
      <c r="AA78" s="7"/>
    </row>
    <row r="79" spans="1:27" s="11" customFormat="1" hidden="1" x14ac:dyDescent="0.25">
      <c r="A79" s="28" t="s">
        <v>355</v>
      </c>
      <c r="B79" s="78"/>
      <c r="C79" s="78"/>
      <c r="D79" s="78"/>
      <c r="E79" s="80" t="s">
        <v>609</v>
      </c>
      <c r="F79" s="80" t="s">
        <v>129</v>
      </c>
      <c r="G79" s="92"/>
      <c r="H79" s="96"/>
      <c r="L79" s="7"/>
      <c r="M79" s="92"/>
      <c r="R79" s="7"/>
      <c r="S79" s="92"/>
      <c r="X79" s="7"/>
      <c r="Y79" s="92"/>
      <c r="AA79" s="7"/>
    </row>
    <row r="80" spans="1:27" s="11" customFormat="1" x14ac:dyDescent="0.25">
      <c r="A80" s="28" t="s">
        <v>336</v>
      </c>
      <c r="B80" s="78" t="s">
        <v>337</v>
      </c>
      <c r="C80" s="78"/>
      <c r="D80" s="78"/>
      <c r="E80" s="80" t="s">
        <v>338</v>
      </c>
      <c r="F80" s="80" t="s">
        <v>129</v>
      </c>
      <c r="G80" s="92"/>
      <c r="H80" s="96"/>
      <c r="L80" s="7"/>
      <c r="M80" s="92"/>
      <c r="R80" s="7"/>
      <c r="S80" s="92"/>
      <c r="X80" s="7"/>
      <c r="Y80" s="92"/>
      <c r="AA80" s="7"/>
    </row>
    <row r="81" spans="1:27" s="11" customFormat="1" x14ac:dyDescent="0.25">
      <c r="A81" s="28" t="s">
        <v>341</v>
      </c>
      <c r="B81" s="78" t="s">
        <v>342</v>
      </c>
      <c r="C81" s="78"/>
      <c r="D81" s="78"/>
      <c r="E81" s="80" t="s">
        <v>343</v>
      </c>
      <c r="F81" s="73" t="s">
        <v>261</v>
      </c>
      <c r="G81" s="92"/>
      <c r="H81" s="96"/>
      <c r="L81" s="7"/>
      <c r="M81" s="92"/>
      <c r="R81" s="7"/>
      <c r="S81" s="92"/>
      <c r="X81" s="7"/>
      <c r="Y81" s="92"/>
      <c r="AA81" s="7"/>
    </row>
    <row r="82" spans="1:27" s="11" customFormat="1" x14ac:dyDescent="0.25">
      <c r="A82" s="28" t="s">
        <v>344</v>
      </c>
      <c r="B82" s="78" t="s">
        <v>345</v>
      </c>
      <c r="C82" s="78"/>
      <c r="D82" s="78"/>
      <c r="E82" s="80"/>
      <c r="F82" s="73" t="s">
        <v>261</v>
      </c>
      <c r="G82" s="92"/>
      <c r="H82" s="96"/>
      <c r="L82" s="7"/>
      <c r="M82" s="92"/>
      <c r="R82" s="7"/>
      <c r="S82" s="92"/>
      <c r="X82" s="7"/>
      <c r="Y82" s="92"/>
      <c r="AA82" s="7"/>
    </row>
    <row r="83" spans="1:27" s="11" customFormat="1" x14ac:dyDescent="0.25">
      <c r="A83" s="28" t="s">
        <v>347</v>
      </c>
      <c r="B83" s="78" t="s">
        <v>348</v>
      </c>
      <c r="C83" s="78"/>
      <c r="D83" s="78"/>
      <c r="E83" s="80" t="s">
        <v>349</v>
      </c>
      <c r="F83" s="80" t="s">
        <v>129</v>
      </c>
      <c r="G83" s="92"/>
      <c r="H83" s="96"/>
      <c r="L83" s="7"/>
      <c r="M83" s="92"/>
      <c r="R83" s="7"/>
      <c r="S83" s="92"/>
      <c r="X83" s="7"/>
      <c r="Y83" s="92"/>
      <c r="AA83" s="7"/>
    </row>
    <row r="84" spans="1:27" s="11" customFormat="1" x14ac:dyDescent="0.25">
      <c r="A84" s="28" t="s">
        <v>350</v>
      </c>
      <c r="B84" s="78" t="s">
        <v>351</v>
      </c>
      <c r="C84" s="78"/>
      <c r="D84" s="78"/>
      <c r="E84" s="80"/>
      <c r="F84" s="73" t="s">
        <v>261</v>
      </c>
      <c r="G84" s="92"/>
      <c r="H84" s="96"/>
      <c r="L84" s="7"/>
      <c r="M84" s="92"/>
      <c r="R84" s="7"/>
      <c r="S84" s="92"/>
      <c r="X84" s="7"/>
      <c r="Y84" s="92"/>
      <c r="AA84" s="7"/>
    </row>
    <row r="85" spans="1:27" s="11" customFormat="1" x14ac:dyDescent="0.25">
      <c r="A85" s="28" t="s">
        <v>352</v>
      </c>
      <c r="B85" s="78" t="s">
        <v>353</v>
      </c>
      <c r="C85" s="78"/>
      <c r="D85" s="78"/>
      <c r="E85" s="80" t="s">
        <v>354</v>
      </c>
      <c r="F85" s="73" t="s">
        <v>261</v>
      </c>
      <c r="G85" s="92"/>
      <c r="H85" s="96"/>
      <c r="L85" s="7"/>
      <c r="M85" s="92"/>
      <c r="R85" s="7"/>
      <c r="S85" s="92"/>
      <c r="X85" s="7"/>
      <c r="Y85" s="92"/>
      <c r="AA85" s="7"/>
    </row>
    <row r="86" spans="1:27" s="11" customFormat="1" x14ac:dyDescent="0.25">
      <c r="A86" s="28" t="s">
        <v>355</v>
      </c>
      <c r="B86" s="78" t="s">
        <v>356</v>
      </c>
      <c r="C86" s="78"/>
      <c r="D86" s="78"/>
      <c r="E86" s="80" t="s">
        <v>357</v>
      </c>
      <c r="F86" s="73" t="s">
        <v>261</v>
      </c>
      <c r="G86" s="92"/>
      <c r="H86" s="96"/>
      <c r="L86" s="7"/>
      <c r="M86" s="92"/>
      <c r="R86" s="7"/>
      <c r="S86" s="92"/>
      <c r="X86" s="7"/>
      <c r="Y86" s="92"/>
      <c r="AA86" s="7"/>
    </row>
    <row r="87" spans="1:27" s="11" customFormat="1" x14ac:dyDescent="0.25">
      <c r="A87" s="28" t="s">
        <v>358</v>
      </c>
      <c r="B87" s="78" t="s">
        <v>359</v>
      </c>
      <c r="C87" s="78"/>
      <c r="D87" s="78"/>
      <c r="E87" s="80" t="s">
        <v>360</v>
      </c>
      <c r="F87" s="80" t="s">
        <v>129</v>
      </c>
      <c r="G87" s="92"/>
      <c r="H87" s="96"/>
      <c r="L87" s="7"/>
      <c r="M87" s="92"/>
      <c r="R87" s="7"/>
      <c r="S87" s="92"/>
      <c r="X87" s="7"/>
      <c r="Y87" s="92"/>
      <c r="AA87" s="7"/>
    </row>
    <row r="88" spans="1:27" s="11" customFormat="1" x14ac:dyDescent="0.25">
      <c r="A88" s="28" t="s">
        <v>369</v>
      </c>
      <c r="B88" s="78" t="s">
        <v>370</v>
      </c>
      <c r="C88" s="78"/>
      <c r="D88" s="78"/>
      <c r="E88" s="80" t="s">
        <v>371</v>
      </c>
      <c r="F88" s="80" t="s">
        <v>129</v>
      </c>
      <c r="G88" s="92"/>
      <c r="H88" s="96"/>
      <c r="L88" s="7"/>
      <c r="M88" s="92"/>
      <c r="R88" s="7"/>
      <c r="S88" s="92"/>
      <c r="X88" s="7"/>
      <c r="Y88" s="92"/>
      <c r="AA88" s="7"/>
    </row>
    <row r="89" spans="1:27" s="11" customFormat="1" x14ac:dyDescent="0.25">
      <c r="A89" s="28" t="s">
        <v>372</v>
      </c>
      <c r="B89" s="78" t="s">
        <v>373</v>
      </c>
      <c r="C89" s="78"/>
      <c r="D89" s="78"/>
      <c r="E89" s="80" t="s">
        <v>374</v>
      </c>
      <c r="F89" s="80" t="s">
        <v>129</v>
      </c>
      <c r="G89" s="92"/>
      <c r="H89" s="96"/>
      <c r="L89" s="7"/>
      <c r="M89" s="92"/>
      <c r="R89" s="7"/>
      <c r="S89" s="92"/>
      <c r="X89" s="7"/>
      <c r="Y89" s="92"/>
      <c r="AA89" s="7"/>
    </row>
    <row r="90" spans="1:27" s="11" customFormat="1" x14ac:dyDescent="0.25">
      <c r="A90" s="28" t="s">
        <v>375</v>
      </c>
      <c r="B90" s="78" t="s">
        <v>376</v>
      </c>
      <c r="C90" s="78"/>
      <c r="D90" s="78"/>
      <c r="E90" s="80" t="s">
        <v>377</v>
      </c>
      <c r="F90" s="80" t="s">
        <v>129</v>
      </c>
      <c r="G90" s="92"/>
      <c r="H90" s="96"/>
      <c r="L90" s="7"/>
      <c r="M90" s="92"/>
      <c r="R90" s="7"/>
      <c r="S90" s="92"/>
      <c r="X90" s="7"/>
      <c r="Y90" s="92"/>
      <c r="AA90" s="7"/>
    </row>
    <row r="91" spans="1:27" s="11" customFormat="1" x14ac:dyDescent="0.25">
      <c r="A91" s="28" t="s">
        <v>378</v>
      </c>
      <c r="B91" s="78" t="s">
        <v>379</v>
      </c>
      <c r="C91" s="78"/>
      <c r="D91" s="78"/>
      <c r="E91" s="80" t="s">
        <v>380</v>
      </c>
      <c r="F91" s="80" t="s">
        <v>129</v>
      </c>
      <c r="G91" s="92"/>
      <c r="H91" s="96"/>
      <c r="L91" s="7"/>
      <c r="M91" s="92"/>
      <c r="R91" s="7"/>
      <c r="S91" s="92"/>
      <c r="X91" s="7"/>
      <c r="Y91" s="92"/>
      <c r="AA91" s="7"/>
    </row>
    <row r="92" spans="1:27" s="11" customFormat="1" x14ac:dyDescent="0.25">
      <c r="A92" s="28" t="s">
        <v>381</v>
      </c>
      <c r="B92" s="78" t="s">
        <v>382</v>
      </c>
      <c r="C92" s="78"/>
      <c r="D92" s="78"/>
      <c r="E92" s="80" t="s">
        <v>383</v>
      </c>
      <c r="F92" s="80" t="s">
        <v>129</v>
      </c>
      <c r="G92" s="92"/>
      <c r="H92" s="96"/>
      <c r="L92" s="7"/>
      <c r="M92" s="92"/>
      <c r="R92" s="7"/>
      <c r="S92" s="92"/>
      <c r="X92" s="7"/>
      <c r="Y92" s="92"/>
      <c r="AA92" s="7"/>
    </row>
    <row r="93" spans="1:27" s="11" customFormat="1" x14ac:dyDescent="0.25">
      <c r="A93" s="28" t="s">
        <v>389</v>
      </c>
      <c r="B93" s="78" t="s">
        <v>390</v>
      </c>
      <c r="C93" s="78"/>
      <c r="D93" s="78"/>
      <c r="E93" s="80" t="s">
        <v>391</v>
      </c>
      <c r="F93" s="80" t="s">
        <v>129</v>
      </c>
      <c r="G93" s="92"/>
      <c r="H93" s="96"/>
      <c r="L93" s="7"/>
      <c r="M93" s="92"/>
      <c r="R93" s="7"/>
      <c r="S93" s="92"/>
      <c r="X93" s="7"/>
      <c r="AA93" s="7"/>
    </row>
    <row r="94" spans="1:27" hidden="1" x14ac:dyDescent="0.25">
      <c r="A94" s="28" t="s">
        <v>392</v>
      </c>
      <c r="B94" s="78"/>
      <c r="C94" s="78"/>
      <c r="D94" s="78"/>
      <c r="E94" s="80" t="s">
        <v>394</v>
      </c>
      <c r="F94" s="80" t="s">
        <v>129</v>
      </c>
      <c r="H94" s="96"/>
    </row>
    <row r="95" spans="1:27" x14ac:dyDescent="0.25">
      <c r="A95" s="28" t="s">
        <v>395</v>
      </c>
      <c r="B95" s="78" t="s">
        <v>396</v>
      </c>
      <c r="C95" s="78"/>
      <c r="D95" s="78"/>
      <c r="E95" s="80" t="s">
        <v>397</v>
      </c>
      <c r="F95" s="80" t="s">
        <v>129</v>
      </c>
      <c r="H95" s="96"/>
    </row>
    <row r="96" spans="1:27" x14ac:dyDescent="0.25">
      <c r="A96" s="28" t="s">
        <v>398</v>
      </c>
      <c r="B96" s="78" t="s">
        <v>399</v>
      </c>
      <c r="C96" s="78"/>
      <c r="D96" s="78"/>
      <c r="E96" s="80" t="s">
        <v>400</v>
      </c>
      <c r="F96" s="80" t="s">
        <v>129</v>
      </c>
      <c r="H96" s="96"/>
    </row>
    <row r="97" spans="1:8" x14ac:dyDescent="0.25">
      <c r="A97" s="28" t="s">
        <v>401</v>
      </c>
      <c r="B97" s="78" t="s">
        <v>402</v>
      </c>
      <c r="C97" s="78"/>
      <c r="D97" s="78"/>
      <c r="E97" s="80" t="s">
        <v>400</v>
      </c>
      <c r="F97" s="73" t="s">
        <v>15</v>
      </c>
      <c r="H97" s="96"/>
    </row>
    <row r="98" spans="1:8" x14ac:dyDescent="0.25">
      <c r="A98" s="28" t="s">
        <v>403</v>
      </c>
      <c r="B98" s="78" t="s">
        <v>404</v>
      </c>
      <c r="C98" s="78"/>
      <c r="D98" s="78"/>
      <c r="E98" s="80" t="s">
        <v>405</v>
      </c>
      <c r="F98" s="80" t="s">
        <v>129</v>
      </c>
      <c r="H98" s="96"/>
    </row>
    <row r="99" spans="1:8" x14ac:dyDescent="0.25">
      <c r="A99" s="28" t="s">
        <v>406</v>
      </c>
      <c r="B99" s="78" t="s">
        <v>407</v>
      </c>
      <c r="C99" s="78"/>
      <c r="D99" s="78"/>
      <c r="E99" s="80" t="s">
        <v>408</v>
      </c>
      <c r="F99" s="80" t="s">
        <v>129</v>
      </c>
      <c r="H99" s="96"/>
    </row>
    <row r="100" spans="1:8" x14ac:dyDescent="0.25">
      <c r="A100" s="28" t="s">
        <v>423</v>
      </c>
      <c r="B100" s="78" t="s">
        <v>424</v>
      </c>
      <c r="C100" s="78"/>
      <c r="D100" s="78"/>
      <c r="E100" s="80" t="s">
        <v>425</v>
      </c>
      <c r="F100" s="80" t="s">
        <v>129</v>
      </c>
      <c r="H100" s="96"/>
    </row>
    <row r="101" spans="1:8" x14ac:dyDescent="0.25">
      <c r="A101" s="28" t="s">
        <v>430</v>
      </c>
      <c r="B101" s="78" t="s">
        <v>431</v>
      </c>
      <c r="C101" s="78"/>
      <c r="D101" s="78"/>
      <c r="E101" s="80" t="s">
        <v>432</v>
      </c>
      <c r="F101" s="73" t="s">
        <v>261</v>
      </c>
      <c r="H101" s="96"/>
    </row>
    <row r="102" spans="1:8" x14ac:dyDescent="0.25">
      <c r="A102" s="28" t="s">
        <v>433</v>
      </c>
      <c r="B102" s="78" t="s">
        <v>434</v>
      </c>
      <c r="C102" s="78"/>
      <c r="D102" s="78"/>
      <c r="E102" s="80" t="s">
        <v>435</v>
      </c>
      <c r="F102" s="73" t="s">
        <v>261</v>
      </c>
      <c r="H102" s="96"/>
    </row>
    <row r="103" spans="1:8" x14ac:dyDescent="0.25">
      <c r="A103" s="28" t="s">
        <v>442</v>
      </c>
      <c r="B103" s="78" t="s">
        <v>443</v>
      </c>
      <c r="C103" s="78"/>
      <c r="D103" s="78"/>
      <c r="E103" s="86" t="s">
        <v>444</v>
      </c>
      <c r="F103" s="73" t="s">
        <v>261</v>
      </c>
      <c r="H103" s="96"/>
    </row>
    <row r="104" spans="1:8" x14ac:dyDescent="0.25">
      <c r="A104" s="28" t="s">
        <v>449</v>
      </c>
      <c r="B104" s="78" t="s">
        <v>450</v>
      </c>
      <c r="C104" s="78"/>
      <c r="D104" s="78"/>
      <c r="E104" s="80" t="s">
        <v>451</v>
      </c>
      <c r="F104" s="73" t="s">
        <v>261</v>
      </c>
      <c r="H104" s="96"/>
    </row>
    <row r="105" spans="1:8" x14ac:dyDescent="0.25">
      <c r="A105" s="28" t="s">
        <v>460</v>
      </c>
      <c r="B105" s="78" t="s">
        <v>461</v>
      </c>
      <c r="C105" s="78"/>
      <c r="D105" s="78"/>
      <c r="E105" s="80" t="s">
        <v>462</v>
      </c>
      <c r="F105" s="73" t="s">
        <v>261</v>
      </c>
      <c r="H105" s="96"/>
    </row>
    <row r="106" spans="1:8" x14ac:dyDescent="0.25">
      <c r="A106" s="28" t="s">
        <v>463</v>
      </c>
      <c r="B106" s="78" t="s">
        <v>464</v>
      </c>
      <c r="C106" s="78"/>
      <c r="D106" s="78"/>
      <c r="E106" s="80" t="s">
        <v>465</v>
      </c>
      <c r="F106" s="73" t="s">
        <v>261</v>
      </c>
      <c r="H106" s="96"/>
    </row>
    <row r="107" spans="1:8" x14ac:dyDescent="0.25">
      <c r="A107" s="28" t="s">
        <v>466</v>
      </c>
      <c r="B107" s="78" t="s">
        <v>467</v>
      </c>
      <c r="C107" s="78"/>
      <c r="D107" s="78"/>
      <c r="E107" s="80" t="s">
        <v>468</v>
      </c>
      <c r="F107" s="80" t="s">
        <v>129</v>
      </c>
      <c r="H107" s="96"/>
    </row>
    <row r="108" spans="1:8" x14ac:dyDescent="0.25">
      <c r="A108" s="28" t="s">
        <v>471</v>
      </c>
      <c r="B108" s="78" t="s">
        <v>472</v>
      </c>
      <c r="C108" s="78"/>
      <c r="D108" s="78"/>
      <c r="E108" s="80" t="s">
        <v>473</v>
      </c>
      <c r="F108" s="80" t="s">
        <v>129</v>
      </c>
      <c r="H108" s="96"/>
    </row>
    <row r="109" spans="1:8" hidden="1" x14ac:dyDescent="0.25">
      <c r="A109" s="28" t="s">
        <v>480</v>
      </c>
      <c r="B109" s="78"/>
      <c r="C109" s="78"/>
      <c r="D109" s="78"/>
      <c r="E109" s="80" t="s">
        <v>482</v>
      </c>
      <c r="F109" s="73"/>
      <c r="H109" s="96"/>
    </row>
    <row r="110" spans="1:8" x14ac:dyDescent="0.25">
      <c r="A110" s="28" t="s">
        <v>485</v>
      </c>
      <c r="B110" s="78" t="s">
        <v>486</v>
      </c>
      <c r="C110" s="78"/>
      <c r="D110" s="78"/>
      <c r="E110" s="80" t="s">
        <v>487</v>
      </c>
      <c r="F110" s="73" t="s">
        <v>261</v>
      </c>
      <c r="H110" s="96"/>
    </row>
    <row r="111" spans="1:8" x14ac:dyDescent="0.25">
      <c r="A111" s="28" t="s">
        <v>488</v>
      </c>
      <c r="B111" s="78" t="s">
        <v>489</v>
      </c>
      <c r="C111" s="78"/>
      <c r="D111" s="78"/>
      <c r="E111" s="80" t="s">
        <v>490</v>
      </c>
      <c r="F111" s="73" t="s">
        <v>261</v>
      </c>
      <c r="H111" s="96"/>
    </row>
    <row r="112" spans="1:8" x14ac:dyDescent="0.25">
      <c r="A112" s="28" t="s">
        <v>491</v>
      </c>
      <c r="B112" s="78" t="s">
        <v>492</v>
      </c>
      <c r="C112" s="78"/>
      <c r="D112" s="78"/>
      <c r="E112" s="80" t="s">
        <v>493</v>
      </c>
      <c r="F112" s="73" t="s">
        <v>261</v>
      </c>
      <c r="H112" s="96"/>
    </row>
    <row r="113" spans="1:9" x14ac:dyDescent="0.25">
      <c r="A113" s="28" t="s">
        <v>509</v>
      </c>
      <c r="B113" s="78" t="s">
        <v>510</v>
      </c>
      <c r="C113" s="78"/>
      <c r="D113" s="78"/>
      <c r="E113" s="80" t="s">
        <v>511</v>
      </c>
      <c r="F113" s="73" t="s">
        <v>261</v>
      </c>
      <c r="H113" s="96"/>
    </row>
    <row r="114" spans="1:9" x14ac:dyDescent="0.25">
      <c r="A114" s="28" t="s">
        <v>514</v>
      </c>
      <c r="B114" s="78" t="s">
        <v>515</v>
      </c>
      <c r="C114" s="78"/>
      <c r="D114" s="78"/>
      <c r="E114" s="80" t="s">
        <v>516</v>
      </c>
      <c r="F114" s="73" t="s">
        <v>261</v>
      </c>
      <c r="H114" s="96"/>
    </row>
    <row r="115" spans="1:9" hidden="1" x14ac:dyDescent="0.25">
      <c r="A115" s="28" t="s">
        <v>521</v>
      </c>
      <c r="B115" s="78"/>
      <c r="C115" s="78"/>
      <c r="D115" s="78"/>
      <c r="E115" s="80" t="s">
        <v>610</v>
      </c>
      <c r="F115" s="73"/>
      <c r="H115" s="96"/>
    </row>
    <row r="116" spans="1:9" x14ac:dyDescent="0.25">
      <c r="A116" s="28" t="s">
        <v>521</v>
      </c>
      <c r="B116" s="78" t="s">
        <v>522</v>
      </c>
      <c r="C116" s="78"/>
      <c r="D116" s="78"/>
      <c r="E116" s="80" t="s">
        <v>523</v>
      </c>
      <c r="F116" s="80" t="s">
        <v>129</v>
      </c>
      <c r="H116" s="96"/>
    </row>
    <row r="117" spans="1:9" x14ac:dyDescent="0.25">
      <c r="A117" s="28" t="s">
        <v>528</v>
      </c>
      <c r="B117" s="78" t="s">
        <v>529</v>
      </c>
      <c r="C117" s="78"/>
      <c r="D117" s="78"/>
      <c r="E117" s="80" t="s">
        <v>530</v>
      </c>
      <c r="F117" s="73" t="s">
        <v>261</v>
      </c>
      <c r="H117" s="96"/>
    </row>
    <row r="118" spans="1:9" x14ac:dyDescent="0.25">
      <c r="A118" s="28" t="s">
        <v>531</v>
      </c>
      <c r="B118" s="78" t="s">
        <v>532</v>
      </c>
      <c r="C118" s="78"/>
      <c r="D118" s="78"/>
      <c r="E118" s="80" t="s">
        <v>533</v>
      </c>
      <c r="F118" s="73" t="s">
        <v>261</v>
      </c>
      <c r="H118" s="96"/>
    </row>
    <row r="119" spans="1:9" x14ac:dyDescent="0.25">
      <c r="A119" s="28" t="s">
        <v>534</v>
      </c>
      <c r="B119" s="78" t="s">
        <v>535</v>
      </c>
      <c r="C119" s="78"/>
      <c r="D119" s="78"/>
      <c r="E119" s="80" t="s">
        <v>536</v>
      </c>
      <c r="F119" s="80" t="s">
        <v>129</v>
      </c>
      <c r="H119" s="96"/>
    </row>
    <row r="120" spans="1:9" x14ac:dyDescent="0.25">
      <c r="A120" s="28" t="s">
        <v>537</v>
      </c>
      <c r="B120" s="78" t="s">
        <v>538</v>
      </c>
      <c r="C120" s="78"/>
      <c r="D120" s="78"/>
      <c r="E120" s="80" t="s">
        <v>539</v>
      </c>
      <c r="F120" s="73"/>
      <c r="H120" s="96"/>
    </row>
    <row r="121" spans="1:9" x14ac:dyDescent="0.25">
      <c r="A121" s="28" t="s">
        <v>560</v>
      </c>
      <c r="B121" s="78" t="s">
        <v>561</v>
      </c>
      <c r="C121" s="78"/>
      <c r="D121" s="78"/>
      <c r="E121" s="80" t="s">
        <v>562</v>
      </c>
      <c r="F121" s="73" t="s">
        <v>261</v>
      </c>
      <c r="H121" s="96"/>
    </row>
    <row r="122" spans="1:9" x14ac:dyDescent="0.25">
      <c r="A122" s="45" t="s">
        <v>563</v>
      </c>
      <c r="B122" s="129" t="s">
        <v>564</v>
      </c>
      <c r="C122" s="129"/>
      <c r="D122" s="129"/>
      <c r="E122" s="89" t="s">
        <v>565</v>
      </c>
      <c r="F122" s="73" t="s">
        <v>261</v>
      </c>
      <c r="H122" s="96"/>
    </row>
    <row r="123" spans="1:9" x14ac:dyDescent="0.25">
      <c r="A123" s="45" t="s">
        <v>255</v>
      </c>
      <c r="B123" s="129" t="s">
        <v>256</v>
      </c>
      <c r="C123" s="129"/>
      <c r="D123" s="129"/>
      <c r="E123" s="23" t="s">
        <v>257</v>
      </c>
      <c r="F123" s="76" t="s">
        <v>47</v>
      </c>
      <c r="G123" s="202" t="s">
        <v>258</v>
      </c>
      <c r="H123" s="202"/>
      <c r="I123" s="202"/>
    </row>
    <row r="124" spans="1:9" hidden="1" x14ac:dyDescent="0.25">
      <c r="A124" s="25" t="s">
        <v>570</v>
      </c>
      <c r="B124" s="10" t="s">
        <v>611</v>
      </c>
      <c r="C124" s="10"/>
      <c r="D124" s="10"/>
      <c r="E124" s="11">
        <v>0</v>
      </c>
      <c r="F124" s="11">
        <v>0</v>
      </c>
      <c r="H124" s="96"/>
    </row>
    <row r="125" spans="1:9" hidden="1" x14ac:dyDescent="0.25">
      <c r="A125" s="130"/>
      <c r="B125" s="10"/>
      <c r="C125" s="10"/>
      <c r="D125" s="10"/>
      <c r="H125" s="96"/>
    </row>
    <row r="126" spans="1:9" hidden="1" x14ac:dyDescent="0.25">
      <c r="A126" s="130"/>
      <c r="H126" s="96"/>
    </row>
    <row r="127" spans="1:9" ht="18.75" x14ac:dyDescent="0.25">
      <c r="A127" s="131" t="s">
        <v>612</v>
      </c>
      <c r="B127" s="132"/>
      <c r="C127" s="88"/>
      <c r="D127" s="88"/>
      <c r="E127" s="88"/>
      <c r="G127" s="133"/>
      <c r="H127" s="96"/>
    </row>
    <row r="128" spans="1:9" ht="18.75" x14ac:dyDescent="0.25">
      <c r="G128" s="134"/>
      <c r="H128" s="96"/>
    </row>
    <row r="129" spans="7:8" x14ac:dyDescent="0.25">
      <c r="G129" s="85"/>
      <c r="H129" s="96"/>
    </row>
    <row r="130" spans="7:8" x14ac:dyDescent="0.25">
      <c r="H130" s="96"/>
    </row>
    <row r="131" spans="7:8" x14ac:dyDescent="0.25">
      <c r="H131" s="96"/>
    </row>
    <row r="132" spans="7:8" x14ac:dyDescent="0.25">
      <c r="H132" s="96"/>
    </row>
    <row r="133" spans="7:8" x14ac:dyDescent="0.25">
      <c r="H133" s="96"/>
    </row>
    <row r="134" spans="7:8" x14ac:dyDescent="0.25">
      <c r="H134" s="96"/>
    </row>
    <row r="135" spans="7:8" x14ac:dyDescent="0.25">
      <c r="H135" s="96"/>
    </row>
    <row r="136" spans="7:8" x14ac:dyDescent="0.25">
      <c r="H136" s="96"/>
    </row>
    <row r="137" spans="7:8" x14ac:dyDescent="0.25">
      <c r="H137" s="96"/>
    </row>
    <row r="138" spans="7:8" x14ac:dyDescent="0.25">
      <c r="H138" s="96"/>
    </row>
    <row r="139" spans="7:8" x14ac:dyDescent="0.25">
      <c r="H139" s="96"/>
    </row>
    <row r="140" spans="7:8" x14ac:dyDescent="0.25">
      <c r="H140" s="96"/>
    </row>
    <row r="141" spans="7:8" x14ac:dyDescent="0.25">
      <c r="H141" s="96"/>
    </row>
    <row r="142" spans="7:8" x14ac:dyDescent="0.25">
      <c r="H142" s="96"/>
    </row>
    <row r="143" spans="7:8" hidden="1" x14ac:dyDescent="0.25">
      <c r="H143" s="96"/>
    </row>
    <row r="144" spans="7:8" hidden="1" x14ac:dyDescent="0.25">
      <c r="H144" s="96"/>
    </row>
    <row r="145" spans="1:8" hidden="1" x14ac:dyDescent="0.25">
      <c r="H145" s="96"/>
    </row>
    <row r="146" spans="1:8" hidden="1" x14ac:dyDescent="0.25">
      <c r="H146" s="96"/>
    </row>
    <row r="147" spans="1:8" hidden="1" x14ac:dyDescent="0.25">
      <c r="H147" s="96"/>
    </row>
    <row r="148" spans="1:8" hidden="1" x14ac:dyDescent="0.25">
      <c r="H148" s="96"/>
    </row>
    <row r="149" spans="1:8" hidden="1" x14ac:dyDescent="0.25">
      <c r="H149" s="96"/>
    </row>
    <row r="150" spans="1:8" x14ac:dyDescent="0.25">
      <c r="H150" s="96"/>
    </row>
    <row r="151" spans="1:8" x14ac:dyDescent="0.25">
      <c r="H151" s="96"/>
    </row>
    <row r="152" spans="1:8" x14ac:dyDescent="0.25">
      <c r="H152" s="96"/>
    </row>
    <row r="153" spans="1:8" x14ac:dyDescent="0.25">
      <c r="H153" s="96"/>
    </row>
    <row r="154" spans="1:8" x14ac:dyDescent="0.25">
      <c r="H154" s="96"/>
    </row>
    <row r="155" spans="1:8" hidden="1" x14ac:dyDescent="0.25">
      <c r="A155" s="28"/>
      <c r="B155" s="90"/>
      <c r="C155" s="90"/>
      <c r="D155" s="90"/>
      <c r="H155" s="96"/>
    </row>
    <row r="156" spans="1:8" hidden="1" x14ac:dyDescent="0.25">
      <c r="A156" s="28"/>
      <c r="B156" s="90"/>
      <c r="C156" s="90"/>
      <c r="D156" s="90"/>
      <c r="H156" s="96"/>
    </row>
    <row r="157" spans="1:8" hidden="1" x14ac:dyDescent="0.25">
      <c r="A157" s="28"/>
      <c r="B157" s="90"/>
      <c r="C157" s="90"/>
      <c r="D157" s="90"/>
      <c r="H157" s="96"/>
    </row>
    <row r="158" spans="1:8" hidden="1" x14ac:dyDescent="0.25">
      <c r="A158" s="28"/>
      <c r="B158" s="90"/>
      <c r="C158" s="90"/>
      <c r="D158" s="90"/>
      <c r="H158" s="96"/>
    </row>
    <row r="159" spans="1:8" hidden="1" x14ac:dyDescent="0.25">
      <c r="A159" s="28"/>
      <c r="B159" s="90"/>
      <c r="C159" s="90"/>
      <c r="D159" s="90"/>
      <c r="H159" s="96"/>
    </row>
    <row r="160" spans="1:8" hidden="1" x14ac:dyDescent="0.25">
      <c r="A160" s="28"/>
      <c r="B160" s="90"/>
      <c r="C160" s="90"/>
      <c r="D160" s="90"/>
      <c r="H160" s="96"/>
    </row>
    <row r="161" spans="1:8" hidden="1" x14ac:dyDescent="0.25">
      <c r="A161" s="28"/>
      <c r="B161" s="90"/>
      <c r="C161" s="90"/>
      <c r="D161" s="90"/>
      <c r="H161" s="96"/>
    </row>
    <row r="162" spans="1:8" hidden="1" x14ac:dyDescent="0.25">
      <c r="A162" s="28"/>
      <c r="B162" s="90"/>
      <c r="C162" s="90"/>
      <c r="D162" s="90"/>
      <c r="H162" s="96"/>
    </row>
    <row r="163" spans="1:8" hidden="1" x14ac:dyDescent="0.25">
      <c r="A163" s="28"/>
      <c r="B163" s="90"/>
      <c r="C163" s="90"/>
      <c r="D163" s="90"/>
      <c r="H163" s="96"/>
    </row>
    <row r="164" spans="1:8" hidden="1" x14ac:dyDescent="0.25">
      <c r="A164" s="28"/>
      <c r="B164" s="90"/>
      <c r="C164" s="90"/>
      <c r="D164" s="90"/>
      <c r="H164" s="96"/>
    </row>
    <row r="165" spans="1:8" hidden="1" x14ac:dyDescent="0.25">
      <c r="B165" s="90"/>
      <c r="C165" s="90"/>
      <c r="D165" s="90"/>
      <c r="H165" s="96"/>
    </row>
    <row r="166" spans="1:8" hidden="1" x14ac:dyDescent="0.25">
      <c r="B166" s="90"/>
      <c r="C166" s="90"/>
      <c r="D166" s="90"/>
      <c r="H166" s="96"/>
    </row>
    <row r="167" spans="1:8" hidden="1" x14ac:dyDescent="0.25">
      <c r="B167" s="90"/>
      <c r="C167" s="90"/>
      <c r="D167" s="90"/>
      <c r="H167" s="96"/>
    </row>
    <row r="168" spans="1:8" hidden="1" x14ac:dyDescent="0.25">
      <c r="B168" s="90"/>
      <c r="C168" s="90"/>
      <c r="D168" s="90"/>
      <c r="H168" s="96"/>
    </row>
    <row r="169" spans="1:8" hidden="1" x14ac:dyDescent="0.25">
      <c r="B169" s="90"/>
      <c r="C169" s="90"/>
      <c r="D169" s="90"/>
      <c r="H169" s="96"/>
    </row>
    <row r="170" spans="1:8" hidden="1" x14ac:dyDescent="0.25">
      <c r="B170" s="90"/>
      <c r="C170" s="90"/>
      <c r="D170" s="90"/>
      <c r="H170" s="96"/>
    </row>
    <row r="171" spans="1:8" hidden="1" x14ac:dyDescent="0.25">
      <c r="B171" s="90"/>
      <c r="C171" s="90"/>
      <c r="D171" s="90"/>
      <c r="H171" s="96"/>
    </row>
    <row r="172" spans="1:8" hidden="1" x14ac:dyDescent="0.25">
      <c r="B172" s="90"/>
      <c r="C172" s="90"/>
      <c r="D172" s="90"/>
      <c r="H172" s="96"/>
    </row>
    <row r="173" spans="1:8" hidden="1" x14ac:dyDescent="0.25">
      <c r="B173" s="90"/>
      <c r="C173" s="90"/>
      <c r="D173" s="90"/>
      <c r="H173" s="96"/>
    </row>
    <row r="174" spans="1:8" hidden="1" x14ac:dyDescent="0.25">
      <c r="B174" s="90"/>
      <c r="C174" s="90"/>
      <c r="D174" s="90"/>
      <c r="H174" s="96"/>
    </row>
    <row r="175" spans="1:8" hidden="1" x14ac:dyDescent="0.25">
      <c r="B175" s="90"/>
      <c r="C175" s="90"/>
      <c r="D175" s="90"/>
      <c r="H175" s="96"/>
    </row>
    <row r="176" spans="1:8" hidden="1" x14ac:dyDescent="0.25">
      <c r="B176" s="90"/>
      <c r="C176" s="90"/>
      <c r="D176" s="90"/>
      <c r="H176" s="96"/>
    </row>
    <row r="177" spans="1:8" hidden="1" x14ac:dyDescent="0.25">
      <c r="B177" s="90"/>
      <c r="C177" s="90"/>
      <c r="D177" s="90"/>
      <c r="H177" s="96"/>
    </row>
    <row r="178" spans="1:8" hidden="1" x14ac:dyDescent="0.25">
      <c r="B178" s="90"/>
      <c r="C178" s="90"/>
      <c r="D178" s="90"/>
      <c r="H178" s="96"/>
    </row>
    <row r="180" spans="1:8" ht="18.75" x14ac:dyDescent="0.25">
      <c r="A180" s="203" t="s">
        <v>613</v>
      </c>
      <c r="B180" s="203"/>
      <c r="C180" s="203"/>
      <c r="D180" s="203"/>
      <c r="E180" s="203"/>
      <c r="F180" s="135"/>
    </row>
    <row r="181" spans="1:8" x14ac:dyDescent="0.25">
      <c r="A181" s="136" t="s">
        <v>249</v>
      </c>
      <c r="B181" s="99" t="s">
        <v>250</v>
      </c>
      <c r="C181" s="99"/>
      <c r="D181" s="99"/>
      <c r="E181" s="99" t="s">
        <v>589</v>
      </c>
      <c r="F181" s="99" t="s">
        <v>589</v>
      </c>
    </row>
    <row r="182" spans="1:8" x14ac:dyDescent="0.25">
      <c r="A182" s="28" t="s">
        <v>614</v>
      </c>
      <c r="E182" s="90" t="s">
        <v>615</v>
      </c>
      <c r="F182" s="90" t="s">
        <v>615</v>
      </c>
    </row>
    <row r="183" spans="1:8" x14ac:dyDescent="0.25">
      <c r="A183" s="28" t="s">
        <v>616</v>
      </c>
      <c r="E183" s="137" t="s">
        <v>617</v>
      </c>
      <c r="F183" s="137" t="s">
        <v>617</v>
      </c>
    </row>
    <row r="184" spans="1:8" x14ac:dyDescent="0.25">
      <c r="A184" s="28" t="s">
        <v>618</v>
      </c>
      <c r="E184" s="90" t="s">
        <v>619</v>
      </c>
      <c r="F184" s="90" t="s">
        <v>619</v>
      </c>
    </row>
    <row r="185" spans="1:8" x14ac:dyDescent="0.25">
      <c r="A185" s="28" t="s">
        <v>620</v>
      </c>
      <c r="E185" s="90" t="s">
        <v>621</v>
      </c>
      <c r="F185" s="90" t="s">
        <v>621</v>
      </c>
    </row>
    <row r="186" spans="1:8" x14ac:dyDescent="0.25">
      <c r="A186" s="28" t="s">
        <v>622</v>
      </c>
      <c r="E186" s="90" t="s">
        <v>623</v>
      </c>
      <c r="F186" s="90" t="s">
        <v>623</v>
      </c>
    </row>
    <row r="187" spans="1:8" x14ac:dyDescent="0.25">
      <c r="A187" s="28" t="s">
        <v>122</v>
      </c>
      <c r="E187" s="90" t="s">
        <v>624</v>
      </c>
      <c r="F187" s="90" t="s">
        <v>624</v>
      </c>
    </row>
    <row r="188" spans="1:8" x14ac:dyDescent="0.25">
      <c r="A188" s="28" t="s">
        <v>625</v>
      </c>
      <c r="E188" s="90" t="s">
        <v>626</v>
      </c>
      <c r="F188" s="90" t="s">
        <v>626</v>
      </c>
    </row>
    <row r="189" spans="1:8" x14ac:dyDescent="0.25">
      <c r="A189" s="28" t="s">
        <v>627</v>
      </c>
      <c r="E189" s="90" t="s">
        <v>628</v>
      </c>
      <c r="F189" s="90" t="s">
        <v>628</v>
      </c>
    </row>
    <row r="190" spans="1:8" x14ac:dyDescent="0.25">
      <c r="A190" s="28" t="s">
        <v>629</v>
      </c>
      <c r="E190" s="90" t="s">
        <v>630</v>
      </c>
      <c r="F190" s="90" t="s">
        <v>630</v>
      </c>
    </row>
    <row r="191" spans="1:8" x14ac:dyDescent="0.25">
      <c r="A191" s="28" t="s">
        <v>631</v>
      </c>
      <c r="E191" s="90" t="s">
        <v>632</v>
      </c>
      <c r="F191" s="90" t="s">
        <v>632</v>
      </c>
    </row>
    <row r="192" spans="1:8" x14ac:dyDescent="0.25">
      <c r="A192" s="28" t="s">
        <v>151</v>
      </c>
      <c r="E192" s="90" t="s">
        <v>633</v>
      </c>
      <c r="F192" s="90" t="s">
        <v>633</v>
      </c>
    </row>
    <row r="193" spans="1:6" x14ac:dyDescent="0.25">
      <c r="A193" s="28" t="s">
        <v>634</v>
      </c>
      <c r="E193" s="90" t="s">
        <v>635</v>
      </c>
      <c r="F193" s="90" t="s">
        <v>635</v>
      </c>
    </row>
    <row r="194" spans="1:6" x14ac:dyDescent="0.25">
      <c r="A194" s="28" t="s">
        <v>636</v>
      </c>
      <c r="E194" s="90" t="s">
        <v>637</v>
      </c>
      <c r="F194" s="90" t="s">
        <v>637</v>
      </c>
    </row>
    <row r="195" spans="1:6" x14ac:dyDescent="0.25">
      <c r="A195" s="28" t="s">
        <v>638</v>
      </c>
      <c r="E195" s="90" t="s">
        <v>639</v>
      </c>
      <c r="F195" s="90" t="s">
        <v>639</v>
      </c>
    </row>
    <row r="196" spans="1:6" x14ac:dyDescent="0.25">
      <c r="A196" s="28" t="s">
        <v>640</v>
      </c>
      <c r="E196" s="90" t="s">
        <v>641</v>
      </c>
      <c r="F196" s="90" t="s">
        <v>641</v>
      </c>
    </row>
    <row r="197" spans="1:6" x14ac:dyDescent="0.25">
      <c r="A197" s="28" t="s">
        <v>642</v>
      </c>
      <c r="E197" s="90" t="s">
        <v>643</v>
      </c>
      <c r="F197" s="90" t="s">
        <v>643</v>
      </c>
    </row>
    <row r="198" spans="1:6" x14ac:dyDescent="0.25">
      <c r="A198" s="28" t="s">
        <v>644</v>
      </c>
      <c r="E198" s="90" t="s">
        <v>645</v>
      </c>
      <c r="F198" s="90" t="s">
        <v>645</v>
      </c>
    </row>
    <row r="199" spans="1:6" x14ac:dyDescent="0.25">
      <c r="A199" s="28" t="s">
        <v>646</v>
      </c>
      <c r="E199" s="90" t="s">
        <v>647</v>
      </c>
      <c r="F199" s="90" t="s">
        <v>647</v>
      </c>
    </row>
    <row r="200" spans="1:6" x14ac:dyDescent="0.25">
      <c r="A200" s="28" t="s">
        <v>648</v>
      </c>
      <c r="E200" s="90" t="s">
        <v>649</v>
      </c>
      <c r="F200" s="90" t="s">
        <v>649</v>
      </c>
    </row>
    <row r="201" spans="1:6" x14ac:dyDescent="0.25">
      <c r="A201" s="28" t="s">
        <v>650</v>
      </c>
      <c r="E201" s="90" t="s">
        <v>651</v>
      </c>
      <c r="F201" s="90" t="s">
        <v>651</v>
      </c>
    </row>
    <row r="202" spans="1:6" x14ac:dyDescent="0.25">
      <c r="A202" s="28" t="s">
        <v>652</v>
      </c>
      <c r="E202" s="90" t="s">
        <v>653</v>
      </c>
      <c r="F202" s="90" t="s">
        <v>653</v>
      </c>
    </row>
    <row r="203" spans="1:6" x14ac:dyDescent="0.25">
      <c r="A203" s="28" t="s">
        <v>654</v>
      </c>
      <c r="E203" s="90" t="s">
        <v>655</v>
      </c>
      <c r="F203" s="90" t="s">
        <v>655</v>
      </c>
    </row>
    <row r="204" spans="1:6" x14ac:dyDescent="0.25">
      <c r="A204" s="10" t="s">
        <v>656</v>
      </c>
      <c r="E204" s="90" t="s">
        <v>657</v>
      </c>
      <c r="F204" s="90" t="s">
        <v>657</v>
      </c>
    </row>
    <row r="205" spans="1:6" x14ac:dyDescent="0.25">
      <c r="A205" s="10" t="s">
        <v>658</v>
      </c>
      <c r="E205" s="90" t="s">
        <v>659</v>
      </c>
      <c r="F205" s="90" t="s">
        <v>659</v>
      </c>
    </row>
    <row r="206" spans="1:6" x14ac:dyDescent="0.25">
      <c r="A206" s="10" t="s">
        <v>660</v>
      </c>
      <c r="E206" s="90" t="s">
        <v>661</v>
      </c>
      <c r="F206" s="90" t="s">
        <v>661</v>
      </c>
    </row>
  </sheetData>
  <mergeCells count="19">
    <mergeCell ref="G70:I70"/>
    <mergeCell ref="G71:I71"/>
    <mergeCell ref="G123:I123"/>
    <mergeCell ref="A180:E180"/>
    <mergeCell ref="G35:I35"/>
    <mergeCell ref="G38:I38"/>
    <mergeCell ref="G40:I40"/>
    <mergeCell ref="G54:I54"/>
    <mergeCell ref="A68:E68"/>
    <mergeCell ref="G10:I10"/>
    <mergeCell ref="G16:I16"/>
    <mergeCell ref="G24:I24"/>
    <mergeCell ref="G28:I28"/>
    <mergeCell ref="G31:I31"/>
    <mergeCell ref="A1:C1"/>
    <mergeCell ref="U1:U2"/>
    <mergeCell ref="V1:Y1"/>
    <mergeCell ref="G3:I3"/>
    <mergeCell ref="G8:I8"/>
  </mergeCells>
  <pageMargins left="0.70833333333333304" right="0.70833333333333304" top="0.78749999999999998" bottom="0.59097222222222201" header="0.31527777777777799" footer="0.31527777777777799"/>
  <pageSetup paperSize="9" orientation="landscape" horizontalDpi="300" verticalDpi="300"/>
  <headerFooter>
    <oddHeader>&amp;C&amp;"Arial,Bold"&amp;24&amp;A</oddHeader>
    <oddFooter>&amp;L&amp;"Arial,Regular"&amp;8&amp;Z&amp;F&amp;C&amp;8                                                         Seite &amp;P&amp;R&amp;8gezählt von Michael Heiß/erstellt von Sigurd Heiß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D10"/>
  <sheetViews>
    <sheetView zoomScaleNormal="100" workbookViewId="0">
      <selection activeCell="D7" sqref="D7"/>
    </sheetView>
  </sheetViews>
  <sheetFormatPr baseColWidth="10" defaultColWidth="10.5703125" defaultRowHeight="15" x14ac:dyDescent="0.25"/>
  <cols>
    <col min="2" max="2" width="21.28515625" customWidth="1"/>
    <col min="3" max="3" width="48.5703125" customWidth="1"/>
  </cols>
  <sheetData>
    <row r="1" spans="1:4" ht="22.5" x14ac:dyDescent="0.25">
      <c r="A1" s="13" t="s">
        <v>249</v>
      </c>
      <c r="B1" s="98" t="s">
        <v>250</v>
      </c>
      <c r="C1" s="99" t="s">
        <v>587</v>
      </c>
      <c r="D1" s="13" t="s">
        <v>662</v>
      </c>
    </row>
    <row r="2" spans="1:4" x14ac:dyDescent="0.25">
      <c r="B2" t="s">
        <v>598</v>
      </c>
      <c r="C2" s="138" t="s">
        <v>663</v>
      </c>
      <c r="D2">
        <v>1.48</v>
      </c>
    </row>
    <row r="3" spans="1:4" x14ac:dyDescent="0.25">
      <c r="B3" t="s">
        <v>647</v>
      </c>
      <c r="C3" t="s">
        <v>664</v>
      </c>
      <c r="D3">
        <v>1.8</v>
      </c>
    </row>
    <row r="4" spans="1:4" x14ac:dyDescent="0.25">
      <c r="B4" t="s">
        <v>643</v>
      </c>
      <c r="C4" t="s">
        <v>665</v>
      </c>
      <c r="D4">
        <v>0.99</v>
      </c>
    </row>
    <row r="5" spans="1:4" x14ac:dyDescent="0.25">
      <c r="B5" t="s">
        <v>666</v>
      </c>
      <c r="C5" t="s">
        <v>667</v>
      </c>
      <c r="D5">
        <v>1.75</v>
      </c>
    </row>
    <row r="6" spans="1:4" x14ac:dyDescent="0.25">
      <c r="B6" t="s">
        <v>668</v>
      </c>
      <c r="C6" t="s">
        <v>669</v>
      </c>
      <c r="D6">
        <v>1.1000000000000001</v>
      </c>
    </row>
    <row r="7" spans="1:4" x14ac:dyDescent="0.25">
      <c r="B7" t="s">
        <v>639</v>
      </c>
      <c r="C7" t="s">
        <v>670</v>
      </c>
      <c r="D7">
        <v>2.34</v>
      </c>
    </row>
    <row r="8" spans="1:4" x14ac:dyDescent="0.25">
      <c r="B8" t="s">
        <v>671</v>
      </c>
      <c r="C8" t="s">
        <v>672</v>
      </c>
    </row>
    <row r="9" spans="1:4" x14ac:dyDescent="0.25">
      <c r="B9" t="s">
        <v>673</v>
      </c>
      <c r="C9" t="s">
        <v>674</v>
      </c>
    </row>
    <row r="10" spans="1:4" x14ac:dyDescent="0.25">
      <c r="B10" t="s">
        <v>675</v>
      </c>
      <c r="C10" t="s">
        <v>676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D11"/>
  <sheetViews>
    <sheetView zoomScaleNormal="100" workbookViewId="0">
      <selection activeCell="A5" sqref="A5"/>
    </sheetView>
  </sheetViews>
  <sheetFormatPr baseColWidth="10" defaultColWidth="10.5703125" defaultRowHeight="23.25" x14ac:dyDescent="0.35"/>
  <cols>
    <col min="1" max="2" width="36.42578125" style="139" customWidth="1"/>
  </cols>
  <sheetData>
    <row r="1" spans="1:4" x14ac:dyDescent="0.35">
      <c r="A1" s="207" t="s">
        <v>677</v>
      </c>
      <c r="B1" s="207"/>
      <c r="C1" s="139"/>
      <c r="D1" s="139"/>
    </row>
    <row r="2" spans="1:4" x14ac:dyDescent="0.25">
      <c r="A2" s="140" t="s">
        <v>678</v>
      </c>
      <c r="B2" s="141" t="s">
        <v>679</v>
      </c>
    </row>
    <row r="3" spans="1:4" x14ac:dyDescent="0.35">
      <c r="A3" s="142" t="s">
        <v>663</v>
      </c>
      <c r="B3" s="143">
        <v>850</v>
      </c>
    </row>
    <row r="4" spans="1:4" x14ac:dyDescent="0.35">
      <c r="A4" s="144" t="s">
        <v>664</v>
      </c>
      <c r="B4" s="145">
        <v>850</v>
      </c>
    </row>
    <row r="5" spans="1:4" x14ac:dyDescent="0.35">
      <c r="A5" s="144" t="s">
        <v>680</v>
      </c>
      <c r="B5" s="145">
        <v>300</v>
      </c>
    </row>
    <row r="6" spans="1:4" x14ac:dyDescent="0.35">
      <c r="A6" s="144" t="s">
        <v>681</v>
      </c>
      <c r="B6" s="145">
        <v>1800</v>
      </c>
    </row>
    <row r="7" spans="1:4" x14ac:dyDescent="0.35">
      <c r="A7" s="144" t="s">
        <v>682</v>
      </c>
      <c r="B7" s="145">
        <v>100</v>
      </c>
    </row>
    <row r="8" spans="1:4" x14ac:dyDescent="0.35">
      <c r="A8" s="144" t="s">
        <v>683</v>
      </c>
      <c r="B8" s="145">
        <v>50</v>
      </c>
    </row>
    <row r="9" spans="1:4" x14ac:dyDescent="0.35">
      <c r="A9" s="144" t="s">
        <v>684</v>
      </c>
      <c r="B9" s="145">
        <v>600</v>
      </c>
    </row>
    <row r="10" spans="1:4" x14ac:dyDescent="0.35">
      <c r="A10" s="144" t="s">
        <v>685</v>
      </c>
      <c r="B10" s="145">
        <v>250</v>
      </c>
    </row>
    <row r="11" spans="1:4" x14ac:dyDescent="0.35">
      <c r="A11" s="146" t="s">
        <v>686</v>
      </c>
      <c r="B11" s="147">
        <v>100</v>
      </c>
    </row>
  </sheetData>
  <mergeCells count="1">
    <mergeCell ref="A1:B1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C61"/>
  <sheetViews>
    <sheetView zoomScaleNormal="100" workbookViewId="0">
      <selection activeCell="E39" sqref="E39"/>
    </sheetView>
  </sheetViews>
  <sheetFormatPr baseColWidth="10" defaultColWidth="10.5703125" defaultRowHeight="15" x14ac:dyDescent="0.25"/>
  <cols>
    <col min="1" max="1" width="15.42578125" customWidth="1"/>
    <col min="2" max="2" width="51.28515625" customWidth="1"/>
    <col min="3" max="3" width="13.140625" customWidth="1"/>
  </cols>
  <sheetData>
    <row r="1" spans="1:3" ht="15.75" x14ac:dyDescent="0.25">
      <c r="A1" s="208" t="s">
        <v>0</v>
      </c>
      <c r="B1" s="208"/>
      <c r="C1" s="208"/>
    </row>
    <row r="2" spans="1:3" ht="31.5" x14ac:dyDescent="0.25">
      <c r="A2" s="148" t="s">
        <v>249</v>
      </c>
      <c r="B2" s="149" t="s">
        <v>250</v>
      </c>
      <c r="C2" s="150" t="s">
        <v>587</v>
      </c>
    </row>
    <row r="3" spans="1:3" ht="15.75" x14ac:dyDescent="0.25">
      <c r="A3" s="151" t="s">
        <v>11</v>
      </c>
      <c r="B3" s="152" t="s">
        <v>12</v>
      </c>
      <c r="C3" s="153" t="s">
        <v>13</v>
      </c>
    </row>
    <row r="4" spans="1:3" ht="15.75" hidden="1" x14ac:dyDescent="0.25">
      <c r="A4" s="154" t="s">
        <v>17</v>
      </c>
      <c r="B4" s="155" t="s">
        <v>18</v>
      </c>
      <c r="C4" s="156"/>
    </row>
    <row r="5" spans="1:3" ht="15.75" x14ac:dyDescent="0.25">
      <c r="A5" s="154" t="s">
        <v>20</v>
      </c>
      <c r="B5" s="155" t="s">
        <v>21</v>
      </c>
      <c r="C5" s="156" t="s">
        <v>22</v>
      </c>
    </row>
    <row r="6" spans="1:3" ht="15.75" x14ac:dyDescent="0.25">
      <c r="A6" s="154" t="s">
        <v>25</v>
      </c>
      <c r="B6" s="155" t="s">
        <v>26</v>
      </c>
      <c r="C6" s="156" t="s">
        <v>27</v>
      </c>
    </row>
    <row r="7" spans="1:3" ht="15.75" x14ac:dyDescent="0.25">
      <c r="A7" s="154" t="s">
        <v>30</v>
      </c>
      <c r="B7" s="155" t="s">
        <v>31</v>
      </c>
      <c r="C7" s="156" t="s">
        <v>27</v>
      </c>
    </row>
    <row r="8" spans="1:3" ht="15.75" x14ac:dyDescent="0.25">
      <c r="A8" s="154" t="s">
        <v>33</v>
      </c>
      <c r="B8" s="155" t="s">
        <v>34</v>
      </c>
      <c r="C8" s="156" t="s">
        <v>22</v>
      </c>
    </row>
    <row r="9" spans="1:3" ht="15.75" x14ac:dyDescent="0.25">
      <c r="A9" s="154" t="s">
        <v>36</v>
      </c>
      <c r="B9" s="155" t="s">
        <v>37</v>
      </c>
      <c r="C9" s="156" t="s">
        <v>22</v>
      </c>
    </row>
    <row r="10" spans="1:3" ht="15.75" x14ac:dyDescent="0.25">
      <c r="A10" s="154" t="s">
        <v>39</v>
      </c>
      <c r="B10" s="155" t="s">
        <v>40</v>
      </c>
      <c r="C10" s="156" t="s">
        <v>41</v>
      </c>
    </row>
    <row r="11" spans="1:3" ht="15.75" x14ac:dyDescent="0.25">
      <c r="A11" s="154" t="s">
        <v>43</v>
      </c>
      <c r="B11" s="155" t="s">
        <v>44</v>
      </c>
      <c r="C11" s="156" t="s">
        <v>45</v>
      </c>
    </row>
    <row r="12" spans="1:3" ht="15.75" x14ac:dyDescent="0.25">
      <c r="A12" s="154" t="s">
        <v>50</v>
      </c>
      <c r="B12" s="155" t="s">
        <v>51</v>
      </c>
      <c r="C12" s="156" t="s">
        <v>41</v>
      </c>
    </row>
    <row r="13" spans="1:3" ht="15.75" hidden="1" x14ac:dyDescent="0.25">
      <c r="A13" s="154" t="s">
        <v>53</v>
      </c>
      <c r="B13" s="155"/>
      <c r="C13" s="156"/>
    </row>
    <row r="14" spans="1:3" ht="15.75" hidden="1" x14ac:dyDescent="0.25">
      <c r="A14" s="157" t="s">
        <v>53</v>
      </c>
      <c r="B14" s="158" t="s">
        <v>54</v>
      </c>
      <c r="C14" s="159"/>
    </row>
    <row r="15" spans="1:3" ht="15.75" x14ac:dyDescent="0.25">
      <c r="A15" s="154" t="s">
        <v>58</v>
      </c>
      <c r="B15" s="160" t="s">
        <v>59</v>
      </c>
      <c r="C15" s="161" t="s">
        <v>60</v>
      </c>
    </row>
    <row r="16" spans="1:3" ht="15.75" x14ac:dyDescent="0.25">
      <c r="A16" s="154" t="s">
        <v>64</v>
      </c>
      <c r="B16" s="160" t="s">
        <v>65</v>
      </c>
      <c r="C16" s="161" t="s">
        <v>66</v>
      </c>
    </row>
    <row r="17" spans="1:3" ht="15.75" x14ac:dyDescent="0.25">
      <c r="A17" s="154" t="s">
        <v>68</v>
      </c>
      <c r="B17" s="160" t="s">
        <v>69</v>
      </c>
      <c r="C17" s="161" t="s">
        <v>66</v>
      </c>
    </row>
    <row r="18" spans="1:3" ht="15.75" x14ac:dyDescent="0.25">
      <c r="A18" s="154" t="s">
        <v>71</v>
      </c>
      <c r="B18" s="160" t="s">
        <v>72</v>
      </c>
      <c r="C18" s="161" t="s">
        <v>73</v>
      </c>
    </row>
    <row r="19" spans="1:3" ht="15.75" hidden="1" x14ac:dyDescent="0.25">
      <c r="A19" s="154" t="s">
        <v>75</v>
      </c>
      <c r="B19" s="160" t="s">
        <v>76</v>
      </c>
      <c r="C19" s="161"/>
    </row>
    <row r="20" spans="1:3" ht="15.75" hidden="1" x14ac:dyDescent="0.25">
      <c r="A20" s="154" t="s">
        <v>81</v>
      </c>
      <c r="B20" s="162" t="s">
        <v>82</v>
      </c>
      <c r="C20" s="163"/>
    </row>
    <row r="21" spans="1:3" ht="15.75" hidden="1" x14ac:dyDescent="0.25">
      <c r="A21" s="154" t="s">
        <v>84</v>
      </c>
      <c r="B21" s="162" t="s">
        <v>85</v>
      </c>
      <c r="C21" s="163"/>
    </row>
    <row r="22" spans="1:3" ht="15.75" hidden="1" x14ac:dyDescent="0.25">
      <c r="A22" s="154" t="s">
        <v>87</v>
      </c>
      <c r="B22" s="162" t="s">
        <v>88</v>
      </c>
      <c r="C22" s="163"/>
    </row>
    <row r="23" spans="1:3" ht="15.75" x14ac:dyDescent="0.25">
      <c r="A23" s="154" t="s">
        <v>90</v>
      </c>
      <c r="B23" s="162" t="s">
        <v>91</v>
      </c>
      <c r="C23" s="163" t="s">
        <v>92</v>
      </c>
    </row>
    <row r="24" spans="1:3" ht="15.75" hidden="1" x14ac:dyDescent="0.25">
      <c r="A24" s="154" t="s">
        <v>95</v>
      </c>
      <c r="B24" s="162" t="s">
        <v>96</v>
      </c>
      <c r="C24" s="163"/>
    </row>
    <row r="25" spans="1:3" ht="15.75" hidden="1" x14ac:dyDescent="0.25">
      <c r="A25" s="154" t="s">
        <v>98</v>
      </c>
      <c r="B25" s="162" t="s">
        <v>99</v>
      </c>
      <c r="C25" s="163"/>
    </row>
    <row r="26" spans="1:3" ht="15.75" x14ac:dyDescent="0.25">
      <c r="A26" s="157" t="s">
        <v>101</v>
      </c>
      <c r="B26" s="164" t="s">
        <v>102</v>
      </c>
      <c r="C26" s="165" t="s">
        <v>92</v>
      </c>
    </row>
    <row r="27" spans="1:3" ht="15.75" x14ac:dyDescent="0.25">
      <c r="A27" s="154" t="s">
        <v>104</v>
      </c>
      <c r="B27" s="155" t="s">
        <v>105</v>
      </c>
      <c r="C27" s="156" t="s">
        <v>27</v>
      </c>
    </row>
    <row r="28" spans="1:3" ht="15.75" x14ac:dyDescent="0.25">
      <c r="A28" s="154" t="s">
        <v>107</v>
      </c>
      <c r="B28" s="155" t="s">
        <v>108</v>
      </c>
      <c r="C28" s="159" t="s">
        <v>27</v>
      </c>
    </row>
    <row r="29" spans="1:3" ht="15.75" hidden="1" x14ac:dyDescent="0.25">
      <c r="A29" s="157" t="s">
        <v>110</v>
      </c>
      <c r="B29" s="158" t="s">
        <v>111</v>
      </c>
      <c r="C29" s="159"/>
    </row>
    <row r="30" spans="1:3" ht="15.75" x14ac:dyDescent="0.25">
      <c r="A30" s="154" t="s">
        <v>113</v>
      </c>
      <c r="B30" s="166" t="s">
        <v>114</v>
      </c>
      <c r="C30" s="167" t="s">
        <v>115</v>
      </c>
    </row>
    <row r="31" spans="1:3" ht="15.75" hidden="1" x14ac:dyDescent="0.25">
      <c r="A31" s="154" t="s">
        <v>600</v>
      </c>
      <c r="B31" s="168" t="s">
        <v>601</v>
      </c>
      <c r="C31" s="169"/>
    </row>
    <row r="32" spans="1:3" ht="15.75" x14ac:dyDescent="0.25">
      <c r="A32" s="157" t="s">
        <v>125</v>
      </c>
      <c r="B32" s="170" t="s">
        <v>126</v>
      </c>
      <c r="C32" s="171" t="s">
        <v>132</v>
      </c>
    </row>
    <row r="33" spans="1:3" ht="15.75" hidden="1" x14ac:dyDescent="0.25">
      <c r="A33" s="154" t="s">
        <v>135</v>
      </c>
      <c r="B33" s="172" t="s">
        <v>136</v>
      </c>
      <c r="C33" s="173"/>
    </row>
    <row r="34" spans="1:3" ht="15.75" hidden="1" x14ac:dyDescent="0.25">
      <c r="A34" s="154" t="s">
        <v>138</v>
      </c>
      <c r="B34" s="172" t="s">
        <v>139</v>
      </c>
      <c r="C34" s="173"/>
    </row>
    <row r="35" spans="1:3" ht="15.75" hidden="1" x14ac:dyDescent="0.25">
      <c r="A35" s="157" t="s">
        <v>140</v>
      </c>
      <c r="B35" s="174" t="s">
        <v>141</v>
      </c>
      <c r="C35" s="175"/>
    </row>
    <row r="36" spans="1:3" ht="15.75" hidden="1" x14ac:dyDescent="0.25">
      <c r="A36" s="154" t="s">
        <v>161</v>
      </c>
      <c r="B36" s="176" t="s">
        <v>162</v>
      </c>
      <c r="C36" s="177"/>
    </row>
    <row r="37" spans="1:3" ht="15.75" hidden="1" x14ac:dyDescent="0.25">
      <c r="A37" s="157" t="s">
        <v>165</v>
      </c>
      <c r="B37" s="178" t="s">
        <v>166</v>
      </c>
      <c r="C37" s="179"/>
    </row>
    <row r="38" spans="1:3" ht="15.75" x14ac:dyDescent="0.25">
      <c r="A38" s="154" t="s">
        <v>168</v>
      </c>
      <c r="B38" s="172" t="s">
        <v>169</v>
      </c>
      <c r="C38" s="173" t="s">
        <v>170</v>
      </c>
    </row>
    <row r="39" spans="1:3" ht="15.75" x14ac:dyDescent="0.25">
      <c r="A39" s="154" t="s">
        <v>172</v>
      </c>
      <c r="B39" s="172" t="s">
        <v>173</v>
      </c>
      <c r="C39" s="173" t="s">
        <v>170</v>
      </c>
    </row>
    <row r="40" spans="1:3" ht="15.75" x14ac:dyDescent="0.25">
      <c r="A40" s="154" t="s">
        <v>175</v>
      </c>
      <c r="B40" s="172" t="s">
        <v>176</v>
      </c>
      <c r="C40" s="173" t="s">
        <v>170</v>
      </c>
    </row>
    <row r="41" spans="1:3" ht="15.75" hidden="1" x14ac:dyDescent="0.25">
      <c r="A41" s="154" t="s">
        <v>178</v>
      </c>
      <c r="B41" s="172" t="s">
        <v>179</v>
      </c>
      <c r="C41" s="173"/>
    </row>
    <row r="42" spans="1:3" ht="15.75" hidden="1" x14ac:dyDescent="0.25">
      <c r="A42" s="154" t="s">
        <v>185</v>
      </c>
      <c r="B42" s="172" t="s">
        <v>186</v>
      </c>
      <c r="C42" s="173"/>
    </row>
    <row r="43" spans="1:3" ht="15.75" hidden="1" x14ac:dyDescent="0.25">
      <c r="A43" s="154" t="s">
        <v>187</v>
      </c>
      <c r="B43" s="172" t="s">
        <v>188</v>
      </c>
      <c r="C43" s="173"/>
    </row>
    <row r="44" spans="1:3" ht="15.75" x14ac:dyDescent="0.25">
      <c r="A44" s="154" t="s">
        <v>189</v>
      </c>
      <c r="B44" s="172" t="s">
        <v>190</v>
      </c>
      <c r="C44" s="173" t="s">
        <v>170</v>
      </c>
    </row>
    <row r="45" spans="1:3" ht="15.75" hidden="1" x14ac:dyDescent="0.25">
      <c r="A45" s="154" t="s">
        <v>192</v>
      </c>
      <c r="B45" s="172" t="s">
        <v>193</v>
      </c>
      <c r="C45" s="173"/>
    </row>
    <row r="46" spans="1:3" ht="15.75" hidden="1" x14ac:dyDescent="0.25">
      <c r="A46" s="154" t="s">
        <v>194</v>
      </c>
      <c r="B46" s="172" t="s">
        <v>195</v>
      </c>
      <c r="C46" s="173"/>
    </row>
    <row r="47" spans="1:3" ht="15.75" hidden="1" x14ac:dyDescent="0.25">
      <c r="A47" s="154" t="s">
        <v>196</v>
      </c>
      <c r="B47" s="172" t="s">
        <v>197</v>
      </c>
      <c r="C47" s="173"/>
    </row>
    <row r="48" spans="1:3" ht="15.75" hidden="1" x14ac:dyDescent="0.25">
      <c r="A48" s="154" t="s">
        <v>199</v>
      </c>
      <c r="B48" s="172" t="s">
        <v>200</v>
      </c>
      <c r="C48" s="173"/>
    </row>
    <row r="49" spans="1:3" ht="15.75" hidden="1" x14ac:dyDescent="0.25">
      <c r="A49" s="154" t="s">
        <v>202</v>
      </c>
      <c r="B49" s="172" t="s">
        <v>203</v>
      </c>
      <c r="C49" s="173"/>
    </row>
    <row r="50" spans="1:3" ht="15.75" hidden="1" x14ac:dyDescent="0.25">
      <c r="A50" s="154" t="s">
        <v>205</v>
      </c>
      <c r="B50" s="172" t="s">
        <v>206</v>
      </c>
      <c r="C50" s="173"/>
    </row>
    <row r="51" spans="1:3" ht="15.75" hidden="1" x14ac:dyDescent="0.25">
      <c r="A51" s="157" t="s">
        <v>208</v>
      </c>
      <c r="B51" s="174" t="s">
        <v>209</v>
      </c>
      <c r="C51" s="175"/>
    </row>
    <row r="52" spans="1:3" ht="15.75" x14ac:dyDescent="0.25">
      <c r="A52" s="154" t="s">
        <v>211</v>
      </c>
      <c r="B52" s="180" t="s">
        <v>212</v>
      </c>
      <c r="C52" s="161" t="s">
        <v>60</v>
      </c>
    </row>
    <row r="53" spans="1:3" ht="15.75" x14ac:dyDescent="0.25">
      <c r="A53" s="154" t="s">
        <v>215</v>
      </c>
      <c r="B53" s="180" t="s">
        <v>216</v>
      </c>
      <c r="C53" s="161" t="s">
        <v>66</v>
      </c>
    </row>
    <row r="54" spans="1:3" ht="15.75" hidden="1" x14ac:dyDescent="0.25">
      <c r="A54" s="154" t="s">
        <v>218</v>
      </c>
      <c r="B54" s="180" t="s">
        <v>219</v>
      </c>
      <c r="C54" s="181"/>
    </row>
    <row r="55" spans="1:3" ht="15.75" x14ac:dyDescent="0.25">
      <c r="A55" s="154" t="s">
        <v>221</v>
      </c>
      <c r="B55" s="180" t="s">
        <v>222</v>
      </c>
      <c r="C55" s="161" t="s">
        <v>66</v>
      </c>
    </row>
    <row r="56" spans="1:3" ht="15.75" hidden="1" x14ac:dyDescent="0.25">
      <c r="A56" s="154" t="s">
        <v>226</v>
      </c>
      <c r="B56" s="180" t="s">
        <v>227</v>
      </c>
      <c r="C56" s="181"/>
    </row>
    <row r="57" spans="1:3" ht="15.75" hidden="1" x14ac:dyDescent="0.25">
      <c r="A57" s="154" t="s">
        <v>229</v>
      </c>
      <c r="B57" s="180" t="s">
        <v>230</v>
      </c>
      <c r="C57" s="181"/>
    </row>
    <row r="58" spans="1:3" ht="15.75" hidden="1" x14ac:dyDescent="0.25">
      <c r="A58" s="154" t="s">
        <v>232</v>
      </c>
      <c r="B58" s="180" t="s">
        <v>233</v>
      </c>
      <c r="C58" s="181"/>
    </row>
    <row r="59" spans="1:3" ht="15.75" hidden="1" x14ac:dyDescent="0.25">
      <c r="A59" s="154" t="s">
        <v>235</v>
      </c>
      <c r="B59" s="180" t="s">
        <v>236</v>
      </c>
      <c r="C59" s="181"/>
    </row>
    <row r="60" spans="1:3" ht="15.75" hidden="1" x14ac:dyDescent="0.25">
      <c r="A60" s="154" t="s">
        <v>238</v>
      </c>
      <c r="B60" s="180" t="s">
        <v>239</v>
      </c>
      <c r="C60" s="181"/>
    </row>
    <row r="61" spans="1:3" ht="15.75" x14ac:dyDescent="0.25">
      <c r="A61" s="182" t="s">
        <v>241</v>
      </c>
      <c r="B61" s="183" t="s">
        <v>242</v>
      </c>
      <c r="C61" s="184" t="s">
        <v>604</v>
      </c>
    </row>
  </sheetData>
  <mergeCells count="1">
    <mergeCell ref="A1:C1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Produktmaße+Kürzel</vt:lpstr>
      <vt:lpstr>Produktmaße+Kürzel-alt</vt:lpstr>
      <vt:lpstr>Kartons</vt:lpstr>
      <vt:lpstr>Kartons (2)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Sigurd Heiß</dc:creator>
  <dc:description/>
  <cp:lastModifiedBy>Sigurd Heiss</cp:lastModifiedBy>
  <cp:revision>2</cp:revision>
  <cp:lastPrinted>2025-03-26T15:57:58Z</cp:lastPrinted>
  <dcterms:created xsi:type="dcterms:W3CDTF">2024-02-18T12:01:36Z</dcterms:created>
  <dcterms:modified xsi:type="dcterms:W3CDTF">2026-01-13T14:10:55Z</dcterms:modified>
  <dc:language>de-DE</dc:language>
</cp:coreProperties>
</file>